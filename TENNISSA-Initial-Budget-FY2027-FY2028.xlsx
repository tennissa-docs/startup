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Operating Budget" sheetId="2" state="visible" r:id="rId4"/>
    <sheet name="Assumptions" sheetId="3" state="visible" r:id="rId5"/>
    <sheet name="Budget" sheetId="4" state="visible" r:id="rId6"/>
    <sheet name="Scenarios" sheetId="5" state="visible" r:id="rId7"/>
    <sheet name="Notes"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<sst xmlns="http://schemas.openxmlformats.org/spreadsheetml/2006/main" count="273" uniqueCount="242">
  <si>
    <t xml:space="preserve">TENNISSA: Initial Two-Year Budget</t>
  </si>
  <si>
    <t xml:space="preserve">Tennessee Islamic School Scholarship Alliance, Inc. · Draft for Board review · Prepared October 2026</t>
  </si>
  <si>
    <t xml:space="preserve">Key figure</t>
  </si>
  <si>
    <t xml:space="preserve">Year 1 (FY2027)</t>
  </si>
  <si>
    <t xml:space="preserve">Year 2 (FY2028)</t>
  </si>
  <si>
    <t xml:space="preserve">2-year total</t>
  </si>
  <si>
    <t xml:space="preserve">Section 25F contributions</t>
  </si>
  <si>
    <t xml:space="preserve">Scholarship pool (90% or more of 25F income)</t>
  </si>
  <si>
    <t xml:space="preserve">Scholarships paid to schools</t>
  </si>
  <si>
    <t xml:space="preserve">Students funded (estimate)</t>
  </si>
  <si>
    <t xml:space="preserve">Meets 25F minimum students?</t>
  </si>
  <si>
    <t xml:space="preserve">Section 25F closing balance</t>
  </si>
  <si>
    <t xml:space="preserve">Total operating revenue</t>
  </si>
  <si>
    <t xml:space="preserve">Total operating expenses</t>
  </si>
  <si>
    <t xml:space="preserve">Operating surplus (deficit)</t>
  </si>
  <si>
    <t xml:space="preserve">Closing operating cash (reserve)</t>
  </si>
  <si>
    <t xml:space="preserve">90% scholarship-spending check (by gift year)</t>
  </si>
  <si>
    <t xml:space="preserve">Gift-year group</t>
  </si>
  <si>
    <t xml:space="preserve">25F income</t>
  </si>
  <si>
    <t xml:space="preserve">Scholarships paid by Dec 31, 2028</t>
  </si>
  <si>
    <t xml:space="preserve">% spent</t>
  </si>
  <si>
    <t xml:space="preserve">2027 gifts</t>
  </si>
  <si>
    <t xml:space="preserve">2028 gifts</t>
  </si>
  <si>
    <t xml:space="preserve">2027 gifts are fully committed by the end of 2028 (90% to scholarships, 10% admin). 2028 gifts have spring 2029 payments still to come, well within the deadline. Confirm the exact deadline with the CPA (FIN-001 §6.3).</t>
  </si>
  <si>
    <t xml:space="preserve">How to read this workbook</t>
  </si>
  <si>
    <t xml:space="preserve">• Change donor counts, average gift and other drivers on the Assumptions tab (blue and yellow cells). Everything else recalculates.</t>
  </si>
  <si>
    <t xml:space="preserve">• Operating Budget tab: operating costs by category (professional services, platforms, promotional, travel, staff and added items) and how they are funded.</t>
  </si>
  <si>
    <t xml:space="preserve">• Budget tab: line-by-line detail, with the Section 25F Scholarship Account and Operating Fund shown separately, as FIN-001 requires.</t>
  </si>
  <si>
    <t xml:space="preserve">• Scenarios tab: low, base and high donor cases side by side.</t>
  </si>
  <si>
    <t xml:space="preserve">• Notes tab: sources, key rules and items that need quotes.</t>
  </si>
  <si>
    <t xml:space="preserve">TENNISSA Operating Budget by Category</t>
  </si>
  <si>
    <t xml:space="preserve">Category totals pulled from the Budget tab. (*) = category added beyond the requested list.</t>
  </si>
  <si>
    <t xml:space="preserve">Category</t>
  </si>
  <si>
    <t xml:space="preserve">% of Year 2</t>
  </si>
  <si>
    <t xml:space="preserve">Year 2 monthly avg</t>
  </si>
  <si>
    <t xml:space="preserve">1. Professional services</t>
  </si>
  <si>
    <t xml:space="preserve">2. Platforms and technology</t>
  </si>
  <si>
    <t xml:space="preserve">3. Promotional</t>
  </si>
  <si>
    <t xml:space="preserve">4. Travel</t>
  </si>
  <si>
    <t xml:space="preserve">5. Operational staff</t>
  </si>
  <si>
    <t xml:space="preserve">6. Insurance (*)</t>
  </si>
  <si>
    <t xml:space="preserve">7. Registrations and government fees (*)</t>
  </si>
  <si>
    <t xml:space="preserve">8. Office and administration (*)</t>
  </si>
  <si>
    <t xml:space="preserve">Contingency</t>
  </si>
  <si>
    <t xml:space="preserve">Funded by</t>
  </si>
  <si>
    <t xml:space="preserve">Admin allocation from Section 25F (10%)</t>
  </si>
  <si>
    <t xml:space="preserve">Founder and Board operating gifts</t>
  </si>
  <si>
    <t xml:space="preserve">Community operating gifts and events</t>
  </si>
  <si>
    <t xml:space="preserve">Foundation grants</t>
  </si>
  <si>
    <t xml:space="preserve">Surplus (funding gap)</t>
  </si>
  <si>
    <t xml:space="preserve">TENNISSA Initial Budget: Assumptions</t>
  </si>
  <si>
    <t xml:space="preserve">Blue = input you can change. Yellow = key driver. Year 1 = startup through Dec 31, 2027 (FY2027); Year 2 = calendar 2028 (FY2028). All figures are planning estimates.</t>
  </si>
  <si>
    <t xml:space="preserve">Assumption</t>
  </si>
  <si>
    <t xml:space="preserve">Basis / note</t>
  </si>
  <si>
    <t xml:space="preserve">Section 25F scholarship contributions</t>
  </si>
  <si>
    <t xml:space="preserve">Credit-eligible individual donors (count)</t>
  </si>
  <si>
    <t xml:space="preserve">Planning estimate. Year 1 starts Jan 1, 2027 and only after TDOE listing and IRS registration.</t>
  </si>
  <si>
    <t xml:space="preserve">Average Section 25F gift ($)</t>
  </si>
  <si>
    <t xml:space="preserve">Credit cap is $1,700 per taxpayer; joint filers can give $1,700 each. Many donors will give less.</t>
  </si>
  <si>
    <t xml:space="preserve">Interest rate on Section 25F balance</t>
  </si>
  <si>
    <t xml:space="preserve">Insured deposit account (FIN-001 §6.4). Applied to opening balance plus half of the year's gifts.</t>
  </si>
  <si>
    <t xml:space="preserve">Administrative allocation from Section 25F income</t>
  </si>
  <si>
    <t xml:space="preserve">At least 90% of 25F income must fund scholarships, so admin is at most 10%. Payment processing fees on 25F gifts come out of this. Confirm treatment with CPA.</t>
  </si>
  <si>
    <t xml:space="preserve">Payment processing fees (% of 25F gifts)</t>
  </si>
  <si>
    <t xml:space="preserve">Blended card/ACH rate for nonprofit processing. ACH is cheaper; encourage it.</t>
  </si>
  <si>
    <t xml:space="preserve">Share of each year's scholarship pool paid in the fall (same year)</t>
  </si>
  <si>
    <t xml:space="preserve">Awards for the school year starting each August: fall semester paid that year, spring paid the next year.</t>
  </si>
  <si>
    <t xml:space="preserve">Average scholarship award ($)</t>
  </si>
  <si>
    <t xml:space="preserve">Last-dollar award after any EFS/ESA (SCH-001 §4.4). Used only to estimate the number of students funded.</t>
  </si>
  <si>
    <t xml:space="preserve">Operating revenue (not credit-eligible)</t>
  </si>
  <si>
    <t xml:space="preserve">Founder and Board operating gifts ($)</t>
  </si>
  <si>
    <t xml:space="preserve">Seed money. Startup costs before Jan 2027 cannot be paid from Section 25F funds, which do not exist yet.</t>
  </si>
  <si>
    <t xml:space="preserve">Community operating gifts and events ($)</t>
  </si>
  <si>
    <t xml:space="preserve">Masjid and community campaigns, dinner tickets (net of the quid-pro-quo value), business sponsors. Not credit-eligible.</t>
  </si>
  <si>
    <t xml:space="preserve">Foundation grants for operations ($)</t>
  </si>
  <si>
    <t xml:space="preserve">Conservative; no grant assumed in Year 1.</t>
  </si>
  <si>
    <t xml:space="preserve">Opening operating cash, Year 1 ($)</t>
  </si>
  <si>
    <t xml:space="preserve">Year 2 opening = Year 1 closing (calculated).</t>
  </si>
  <si>
    <t xml:space="preserve">Operational staff</t>
  </si>
  <si>
    <t xml:space="preserve">Number of operational staff</t>
  </si>
  <si>
    <t xml:space="preserve">Assumed headcount, adjust as needed. Contractors paid $600+ in a year need a W-9 and Form 1099-NEC. If a director receives a stipend, it is compensation and must be approved by disinterested directors (COI-001 §11).</t>
  </si>
  <si>
    <t xml:space="preserve">Stipend per person per month ($)</t>
  </si>
  <si>
    <t xml:space="preserve">Owner-provided rate (updated Oct 29, 2026 from $250).</t>
  </si>
  <si>
    <t xml:space="preserve">Months paid in the year</t>
  </si>
  <si>
    <t xml:space="preserve">Year 1 could start later (e.g., 10 months if staff begin in March 2027).</t>
  </si>
  <si>
    <t xml:space="preserve">Other</t>
  </si>
  <si>
    <t xml:space="preserve">Contingency (% of operating expenses)</t>
  </si>
  <si>
    <t xml:space="preserve">Unplanned costs, quotes higher than expected.</t>
  </si>
  <si>
    <t xml:space="preserve">Minimum students required by Section 25F</t>
  </si>
  <si>
    <t xml:space="preserve">Scholarships must reach at least this many students, at more than one school.</t>
  </si>
  <si>
    <t xml:space="preserve">TENNISSA Two-Year Budget: FY2027 and FY2028</t>
  </si>
  <si>
    <t xml:space="preserve">Two funds kept separate, as the law requires: the Section 25F Scholarship Account (restricted) and the Operating Fund. Green = pulled from Assumptions. Blue = input.</t>
  </si>
  <si>
    <t xml:space="preserve">Line item</t>
  </si>
  <si>
    <t xml:space="preserve">A. SECTION 25F SCHOLARSHIP ACCOUNT (restricted)</t>
  </si>
  <si>
    <t xml:space="preserve">Opening balance</t>
  </si>
  <si>
    <t xml:space="preserve">New account opened Dec 2026.</t>
  </si>
  <si>
    <t xml:space="preserve">Donors × average gift. Cash from individuals only (DON-001 §3).</t>
  </si>
  <si>
    <t xml:space="preserve">Interest earned</t>
  </si>
  <si>
    <t xml:space="preserve">Interest counts as 25F income and stays in the account.</t>
  </si>
  <si>
    <t xml:space="preserve">Total Section 25F income</t>
  </si>
  <si>
    <t xml:space="preserve">Less: administrative allocation to Operating Fund</t>
  </si>
  <si>
    <t xml:space="preserve">At most 10% of income. Moved to the Operating Fund to pay costs, including processing fees.</t>
  </si>
  <si>
    <t xml:space="preserve">Scholarship pool from this year's income</t>
  </si>
  <si>
    <t xml:space="preserve">Funds awards for the school year that starts in August of this year.</t>
  </si>
  <si>
    <t xml:space="preserve">Scholarships paid: fall semester (this year's pool)</t>
  </si>
  <si>
    <t xml:space="preserve">Paid directly to schools after enrollment is confirmed (SCH-001 §7.2).</t>
  </si>
  <si>
    <t xml:space="preserve">Scholarships paid: spring semester (prior year's pool)</t>
  </si>
  <si>
    <t xml:space="preserve">Spring 2028 payments for 2027–28 awards.</t>
  </si>
  <si>
    <t xml:space="preserve">Total scholarships paid</t>
  </si>
  <si>
    <t xml:space="preserve">Closing balance (committed to next spring's payments)</t>
  </si>
  <si>
    <t xml:space="preserve">Should equal the unpaid spring share of this year's pool, plus any interest.</t>
  </si>
  <si>
    <t xml:space="preserve">Pool ÷ average award. Students at more than one school are required.</t>
  </si>
  <si>
    <t xml:space="preserve">Meets Section 25F minimum number of students?</t>
  </si>
  <si>
    <t xml:space="preserve">B. OPERATING FUND: REVENUE</t>
  </si>
  <si>
    <t xml:space="preserve">Administrative allocation from Section 25F</t>
  </si>
  <si>
    <t xml:space="preserve">C. OPERATING FUND: EXPENSES</t>
  </si>
  <si>
    <t xml:space="preserve">   CPA consultation (setup, advice, Form 990 preparation)</t>
  </si>
  <si>
    <t xml:space="preserve">Requested line. Year 1: chart of accounts, 25F fund setup, 90% tracker. Year 2: FY2027 Form 990 and the Section 25F schedule.</t>
  </si>
  <si>
    <t xml:space="preserve">   Nonprofit consultation</t>
  </si>
  <si>
    <t xml:space="preserve">Requested line. SGO setup, Form 1023 support, TDOE application, board training. Estimate; get a fixed-fee quote.</t>
  </si>
  <si>
    <t xml:space="preserve">   Legal counsel (*)</t>
  </si>
  <si>
    <t xml:space="preserve">Added. Charter, bylaws §4.4 review, policy sign-off, contracts (FACTS, schools). A consultant cannot give legal opinions.</t>
  </si>
  <si>
    <t xml:space="preserve">   Independent audit or review, Section 25F (*)</t>
  </si>
  <si>
    <t xml:space="preserve">Added. Annual audit required for SGOs; a reduced scope may apply to smaller SGOs. Get quotes.</t>
  </si>
  <si>
    <t xml:space="preserve">   Subtotal: 1. professional services</t>
  </si>
  <si>
    <t xml:space="preserve">   SGO management platform fee (FACTS Compass)</t>
  </si>
  <si>
    <t xml:space="preserve">Requested line. PLACEHOLDER: request a written quote. Year 1 includes setup and configuration.</t>
  </si>
  <si>
    <t xml:space="preserve">   Accounting platform</t>
  </si>
  <si>
    <t xml:space="preserve">Requested line. Nonprofit accounting subscription with fund tracking (discounts through TechSoup).</t>
  </si>
  <si>
    <t xml:space="preserve">   Payment processing fees on 25F gifts (*)</t>
  </si>
  <si>
    <t xml:space="preserve">Added. % of 25F gifts (card/ACH). Paid from the administrative allocation.</t>
  </si>
  <si>
    <t xml:space="preserve">   Website hosting and domain (IONOS) (*)</t>
  </si>
  <si>
    <t xml:space="preserve">Added. Current hosting plan.</t>
  </si>
  <si>
    <t xml:space="preserve">   Website form service (Formspree) (*)</t>
  </si>
  <si>
    <t xml:space="preserve">Added. $0 on the free tier.</t>
  </si>
  <si>
    <t xml:space="preserve">   Email and productivity (*)</t>
  </si>
  <si>
    <t xml:space="preserve">Added. Google Workspace for Nonprofits is free for eligible 501(c)(3)s.</t>
  </si>
  <si>
    <t xml:space="preserve">   Phone and virtual number (*)</t>
  </si>
  <si>
    <t xml:space="preserve">Added. Public phone line for families and donors.</t>
  </si>
  <si>
    <t xml:space="preserve">   Password manager and security tools (*)</t>
  </si>
  <si>
    <t xml:space="preserve">Added. MFA and password manager for all users (PRIV-001 §5).</t>
  </si>
  <si>
    <t xml:space="preserve">   Subtotal: 2. platforms and technology</t>
  </si>
  <si>
    <t xml:space="preserve">   Printing and mailers (flyers, postcards)</t>
  </si>
  <si>
    <t xml:space="preserve">Requested line (promotional).</t>
  </si>
  <si>
    <t xml:space="preserve">   Digital ads and social media boosting</t>
  </si>
  <si>
    <t xml:space="preserve">Requested line (promotional). Facebook/Instagram campaigns, mainly Oct–Dec.</t>
  </si>
  <si>
    <t xml:space="preserve">   Donor and community events</t>
  </si>
  <si>
    <t xml:space="preserve">Requested line (promotional). Event revenue is shown under community gifts.</t>
  </si>
  <si>
    <t xml:space="preserve">   Licensed photos and design assets</t>
  </si>
  <si>
    <t xml:space="preserve">Requested line (promotional). Replace watermarked stock photos.</t>
  </si>
  <si>
    <t xml:space="preserve">   Subtotal: 3. promotional</t>
  </si>
  <si>
    <t xml:space="preserve">   Travel and school visits (mileage, lodging)</t>
  </si>
  <si>
    <t xml:space="preserve">Requested line. Statewide: Memphis, Nashville, Chattanooga, Knoxville.</t>
  </si>
  <si>
    <t xml:space="preserve">   Subtotal: 4. travel</t>
  </si>
  <si>
    <t xml:space="preserve">   Operational staff stipends</t>
  </si>
  <si>
    <t xml:space="preserve">Requested line. Staff count × monthly stipend × months (Assumptions tab).</t>
  </si>
  <si>
    <t xml:space="preserve">   Executive Director compensation</t>
  </si>
  <si>
    <t xml:space="preserve">Founders volunteer. Any pay must be fixed, reasonable, approved by disinterested directors, and paid from the Operating Fund only (FIN-001 §11).</t>
  </si>
  <si>
    <t xml:space="preserve">   Background checks for staff and reviewers (*)</t>
  </si>
  <si>
    <t xml:space="preserve">Added. For anyone handling student and family data.</t>
  </si>
  <si>
    <t xml:space="preserve">   Subtotal: 5. operational staff</t>
  </si>
  <si>
    <t xml:space="preserve">   Directors and officers (D&amp;O)</t>
  </si>
  <si>
    <t xml:space="preserve">Added. Broker quote needed.</t>
  </si>
  <si>
    <t xml:space="preserve">   Crime and fidelity</t>
  </si>
  <si>
    <t xml:space="preserve">Added. Coverage at least equal to the highest 25F balance (FIN-001 §10).</t>
  </si>
  <si>
    <t xml:space="preserve">   General liability (events)</t>
  </si>
  <si>
    <t xml:space="preserve">Added.</t>
  </si>
  <si>
    <t xml:space="preserve">   Cyber liability</t>
  </si>
  <si>
    <t xml:space="preserve">Added. TENNISSA holds income and donor data.</t>
  </si>
  <si>
    <t xml:space="preserve">   Subtotal: 6. insurance (*)</t>
  </si>
  <si>
    <t xml:space="preserve">   TN nonprofit charter filing fee</t>
  </si>
  <si>
    <t xml:space="preserve">Added. Tennessee Secretary of State. Confirm current fee.</t>
  </si>
  <si>
    <t xml:space="preserve">   IRS Form 1023 user fee</t>
  </si>
  <si>
    <t xml:space="preserve">Added. Filed on Pay.gov. Confirm current fee.</t>
  </si>
  <si>
    <t xml:space="preserve">   Registered agent</t>
  </si>
  <si>
    <t xml:space="preserve">Added. $0 if a director serves as agent.</t>
  </si>
  <si>
    <t xml:space="preserve">   TN annual report fee</t>
  </si>
  <si>
    <t xml:space="preserve">Added. Confirm.</t>
  </si>
  <si>
    <t xml:space="preserve">   TN charitable solicitation registration and renewal</t>
  </si>
  <si>
    <t xml:space="preserve">Added. Initial $50; renewal tiered by prior-year revenue ($160 for $100k–$250k). Confirm with Secretary of State.</t>
  </si>
  <si>
    <t xml:space="preserve">   Subtotal: 7. registrations and government fees (*)</t>
  </si>
  <si>
    <t xml:space="preserve">   Postage and office supplies</t>
  </si>
  <si>
    <t xml:space="preserve">Added. Includes mailed donor acknowledgments.</t>
  </si>
  <si>
    <t xml:space="preserve">   Bank fees</t>
  </si>
  <si>
    <t xml:space="preserve">Added. Many banks waive fees for nonprofits.</t>
  </si>
  <si>
    <t xml:space="preserve">   Training and conferences</t>
  </si>
  <si>
    <t xml:space="preserve">Added. SGO and nonprofit compliance training.</t>
  </si>
  <si>
    <t xml:space="preserve">   Subtotal: 8. office and administration (*)</t>
  </si>
  <si>
    <t xml:space="preserve">Total operating expenses before contingency</t>
  </si>
  <si>
    <t xml:space="preserve">D. OPERATING FUND: RESULT AND CASH</t>
  </si>
  <si>
    <t xml:space="preserve">Opening operating cash</t>
  </si>
  <si>
    <t xml:space="preserve">Aim to build at least 3 months of operating expenses as a reserve over time.</t>
  </si>
  <si>
    <t xml:space="preserve">Reserve in months of operating expenses</t>
  </si>
  <si>
    <t xml:space="preserve">Operating expenses as % of Section 25F contributions</t>
  </si>
  <si>
    <t xml:space="preserve">Above 10% means operating gifts must cover the difference.</t>
  </si>
  <si>
    <t xml:space="preserve">Donor scenarios (Year 1 and Year 2)</t>
  </si>
  <si>
    <t xml:space="preserve">Low and high cases are blue inputs. Base pulls from Assumptions. Operating costs other than processing fees are held at the Budget amounts.</t>
  </si>
  <si>
    <t xml:space="preserve">Measure</t>
  </si>
  <si>
    <t xml:space="preserve">Low Y1</t>
  </si>
  <si>
    <t xml:space="preserve">Low Y2</t>
  </si>
  <si>
    <t xml:space="preserve">Base Y1</t>
  </si>
  <si>
    <t xml:space="preserve">Base Y2</t>
  </si>
  <si>
    <t xml:space="preserve">High Y1</t>
  </si>
  <si>
    <t xml:space="preserve">High Y2</t>
  </si>
  <si>
    <t xml:space="preserve">Donors</t>
  </si>
  <si>
    <t xml:space="preserve">Average gift</t>
  </si>
  <si>
    <t xml:space="preserve">Section 25F contributions (excl. interest)</t>
  </si>
  <si>
    <t xml:space="preserve">Admin allocation (to operations)</t>
  </si>
  <si>
    <t xml:space="preserve">Scholarship pool</t>
  </si>
  <si>
    <t xml:space="preserve">Operating revenue</t>
  </si>
  <si>
    <t xml:space="preserve">Operating expenses (incl. contingency)</t>
  </si>
  <si>
    <t xml:space="preserve">Takeaway: at low donor volume the 10% admin allocation does not cover fixed costs (audit, platform, insurance), so founders and community operating gifts carry the organization. Raise operating gifts or cut fixed costs before the low case happens.</t>
  </si>
  <si>
    <t xml:space="preserve">Notes, rules and sources</t>
  </si>
  <si>
    <t xml:space="preserve">Rules built into this budget</t>
  </si>
  <si>
    <t xml:space="preserve">Separate funds</t>
  </si>
  <si>
    <t xml:space="preserve">Section 25F gifts are held in a separate account and never used for salaries beyond the permitted admin share (FIN-001 §6, §11).</t>
  </si>
  <si>
    <t xml:space="preserve">90% rule</t>
  </si>
  <si>
    <t xml:space="preserve">At least 90% of Section 25F income must fund scholarships for eligible students within the required period. The admin share is capped at 10% and must cover processing fees.</t>
  </si>
  <si>
    <t xml:space="preserve">Credit-eligible gifts</t>
  </si>
  <si>
    <t xml:space="preserve">Only cash gifts from individuals, made on or after Jan 1, 2027, after TDOE listing and IRS SGO registration. Corporate, noncash and event revenue go to the Operating Fund.</t>
  </si>
  <si>
    <t xml:space="preserve">Startup costs</t>
  </si>
  <si>
    <t xml:space="preserve">Costs before Jan 2027 (charter, Form 1023, legal, platform setup, insurance) must be paid from founder or community operating gifts, not 25F funds.</t>
  </si>
  <si>
    <t xml:space="preserve">Compensation</t>
  </si>
  <si>
    <t xml:space="preserve">No revenue-based or percentage pay. Any Executive Director pay is a fixed amount approved by disinterested directors (COI-001 §11).</t>
  </si>
  <si>
    <t xml:space="preserve">Items that need quotes</t>
  </si>
  <si>
    <t xml:space="preserve">FACTS Compass</t>
  </si>
  <si>
    <t xml:space="preserve">Platform pricing is a placeholder. Request a written quote, including setup, per-transaction fees and donor statement features.</t>
  </si>
  <si>
    <t xml:space="preserve">Insurance</t>
  </si>
  <si>
    <t xml:space="preserve">D&amp;O, crime, general liability and cyber amounts are estimates. Get broker quotes.</t>
  </si>
  <si>
    <t xml:space="preserve">Audit</t>
  </si>
  <si>
    <t xml:space="preserve">Get quotes from CPA firms with nonprofit experience. Confirm the Section 25F audit scope and any small-SGO option.</t>
  </si>
  <si>
    <t xml:space="preserve">Fees to confirm</t>
  </si>
  <si>
    <t xml:space="preserve">TN charter, annual report and charitable solicitation fees, and the IRS Form 1023 user fee, should be confirmed on the official sites before payment.</t>
  </si>
  <si>
    <t xml:space="preserve">Sources</t>
  </si>
  <si>
    <t xml:space="preserve">TN charitable solicitation</t>
  </si>
  <si>
    <t xml:space="preserve">Registration fees and the $50,000 exemption threshold: https://www.harborcompliance.com/information/tennessee-charitable-registration (third-party summary; confirm with the TN Secretary of State).</t>
  </si>
  <si>
    <t xml:space="preserve">Federal law</t>
  </si>
  <si>
    <t xml:space="preserve">IRC § 25F; IRS Notice 2025-70; Treasury regulations. Check irs.gov for current guidance.</t>
  </si>
  <si>
    <t xml:space="preserve">TENNISSA policies</t>
  </si>
  <si>
    <t xml:space="preserve">FIN-001 Financial Controls; SCH-001 Scholarship; DON-001 Donor Acceptance; SGO-001 Section 25F Compliance (tennissa-policies repository).</t>
  </si>
  <si>
    <t xml:space="preserve">Disclaimer</t>
  </si>
  <si>
    <t xml:space="preserve">Planning estimates for Board discussion. Not accounting, tax or legal advice. Have the CPA review before adoption.</t>
  </si>
</sst>
</file>

<file path=xl/styles.xml><?xml version="1.0" encoding="utf-8"?>
<styleSheet xmlns="http://schemas.openxmlformats.org/spreadsheetml/2006/main">
  <numFmts count="6">
    <numFmt numFmtId="164" formatCode="General"/>
    <numFmt numFmtId="165" formatCode="\$#,##0;&quot;($&quot;#,##0\);\-"/>
    <numFmt numFmtId="166" formatCode="#,##0;\(#,##0\);\-"/>
    <numFmt numFmtId="167" formatCode="@"/>
    <numFmt numFmtId="168" formatCode="0.0%;\(0.0%\);\-"/>
    <numFmt numFmtId="169" formatCode="0.0;\(0.0\);\-"/>
  </numFmts>
  <fonts count="14">
    <font>
      <sz val="11"/>
      <color theme="1"/>
      <name val="Calibri"/>
      <family val="2"/>
      <charset val="1"/>
    </font>
    <font>
      <sz val="10"/>
      <name val="Arial"/>
      <family val="0"/>
    </font>
    <font>
      <sz val="10"/>
      <name val="Arial"/>
      <family val="0"/>
    </font>
    <font>
      <sz val="10"/>
      <name val="Arial"/>
      <family val="0"/>
    </font>
    <font>
      <b val="true"/>
      <sz val="14"/>
      <color rgb="FF002D65"/>
      <name val="Arial"/>
      <family val="0"/>
      <charset val="1"/>
    </font>
    <font>
      <sz val="11"/>
      <color theme="1"/>
      <name val="Arial"/>
      <family val="0"/>
      <charset val="1"/>
    </font>
    <font>
      <i val="true"/>
      <sz val="9"/>
      <color rgb="FF555555"/>
      <name val="Arial"/>
      <family val="0"/>
      <charset val="1"/>
    </font>
    <font>
      <b val="true"/>
      <sz val="11"/>
      <color rgb="FFFFFFFF"/>
      <name val="Arial"/>
      <family val="0"/>
      <charset val="1"/>
    </font>
    <font>
      <sz val="11"/>
      <name val="Arial"/>
      <family val="0"/>
      <charset val="1"/>
    </font>
    <font>
      <sz val="11"/>
      <color rgb="FF008000"/>
      <name val="Arial"/>
      <family val="0"/>
      <charset val="1"/>
    </font>
    <font>
      <b val="true"/>
      <sz val="11"/>
      <color rgb="FF002D65"/>
      <name val="Arial"/>
      <family val="0"/>
      <charset val="1"/>
    </font>
    <font>
      <b val="true"/>
      <sz val="11"/>
      <name val="Arial"/>
      <family val="0"/>
      <charset val="1"/>
    </font>
    <font>
      <sz val="11"/>
      <color rgb="FF0000FF"/>
      <name val="Arial"/>
      <family val="0"/>
      <charset val="1"/>
    </font>
    <font>
      <b val="true"/>
      <i val="true"/>
      <sz val="11"/>
      <name val="Arial"/>
      <family val="0"/>
      <charset val="1"/>
    </font>
  </fonts>
  <fills count="5">
    <fill>
      <patternFill patternType="none"/>
    </fill>
    <fill>
      <patternFill patternType="gray125"/>
    </fill>
    <fill>
      <patternFill patternType="solid">
        <fgColor rgb="FF002D65"/>
        <bgColor rgb="FF333333"/>
      </patternFill>
    </fill>
    <fill>
      <patternFill patternType="solid">
        <fgColor rgb="FFE8EDF5"/>
        <bgColor rgb="FFFFFFFF"/>
      </patternFill>
    </fill>
    <fill>
      <patternFill patternType="solid">
        <fgColor rgb="FFFFFF00"/>
        <bgColor rgb="FFFFFF00"/>
      </patternFill>
    </fill>
  </fills>
  <borders count="3">
    <border diagonalUp="false" diagonalDown="false">
      <left/>
      <right/>
      <top/>
      <bottom/>
      <diagonal/>
    </border>
    <border diagonalUp="false" diagonalDown="false">
      <left/>
      <right/>
      <top style="thin"/>
      <bottom style="double"/>
      <diagonal/>
    </border>
    <border diagonalUp="false" diagonalDown="false">
      <left/>
      <right/>
      <top style="thin"/>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6" fontId="9" fillId="0" borderId="0" xfId="0" applyFont="true" applyBorder="false" applyAlignment="false" applyProtection="false">
      <alignment horizontal="general" vertical="bottom" textRotation="0" wrapText="fals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xf numFmtId="167" fontId="9" fillId="0" borderId="0" xfId="0" applyFont="true" applyBorder="false" applyAlignment="true" applyProtection="false">
      <alignment horizontal="right" vertical="bottom" textRotation="0" wrapText="false" indent="0" shrinkToFit="false"/>
      <protection locked="true" hidden="false"/>
    </xf>
    <xf numFmtId="164" fontId="10" fillId="3" borderId="0" xfId="0" applyFont="true" applyBorder="false" applyAlignment="false" applyProtection="false">
      <alignment horizontal="general" vertical="bottom" textRotation="0" wrapText="false" indent="0" shrinkToFit="false"/>
      <protection locked="true" hidden="false"/>
    </xf>
    <xf numFmtId="164" fontId="5" fillId="3" borderId="0" xfId="0" applyFont="true" applyBorder="false" applyAlignment="false" applyProtection="false">
      <alignment horizontal="general" vertical="bottom" textRotation="0" wrapText="false" indent="0" shrinkToFit="false"/>
      <protection locked="true" hidden="false"/>
    </xf>
    <xf numFmtId="168"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5" fontId="11" fillId="0" borderId="1" xfId="0" applyFont="true" applyBorder="true" applyAlignment="false" applyProtection="false">
      <alignment horizontal="general" vertical="bottom" textRotation="0" wrapText="false" indent="0" shrinkToFit="false"/>
      <protection locked="true" hidden="false"/>
    </xf>
    <xf numFmtId="165" fontId="11" fillId="0" borderId="0" xfId="0" applyFont="true" applyBorder="false" applyAlignment="false" applyProtection="false">
      <alignment horizontal="general" vertical="bottom" textRotation="0" wrapText="fals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66" fontId="12" fillId="4"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5" fontId="12" fillId="4" borderId="0" xfId="0" applyFont="true" applyBorder="false" applyAlignment="false" applyProtection="false">
      <alignment horizontal="general" vertical="bottom" textRotation="0" wrapText="false" indent="0" shrinkToFit="false"/>
      <protection locked="true" hidden="false"/>
    </xf>
    <xf numFmtId="168" fontId="12" fillId="0" borderId="0" xfId="0" applyFont="true" applyBorder="false" applyAlignment="false" applyProtection="false">
      <alignment horizontal="general" vertical="bottom" textRotation="0" wrapText="false" indent="0" shrinkToFit="false"/>
      <protection locked="true" hidden="false"/>
    </xf>
    <xf numFmtId="168" fontId="12" fillId="4" borderId="0" xfId="0" applyFont="true" applyBorder="false" applyAlignment="false" applyProtection="false">
      <alignment horizontal="general" vertical="bottom" textRotation="0" wrapText="false" indent="0" shrinkToFit="false"/>
      <protection locked="true" hidden="false"/>
    </xf>
    <xf numFmtId="165" fontId="12" fillId="0" borderId="0" xfId="0" applyFont="true" applyBorder="false" applyAlignment="false" applyProtection="false">
      <alignment horizontal="general" vertical="bottom" textRotation="0" wrapText="false" indent="0" shrinkToFit="false"/>
      <protection locked="true" hidden="false"/>
    </xf>
    <xf numFmtId="166" fontId="12" fillId="0" borderId="0" xfId="0" applyFont="true" applyBorder="false" applyAlignment="false" applyProtection="false">
      <alignment horizontal="general" vertical="bottom" textRotation="0" wrapText="false" indent="0" shrinkToFit="false"/>
      <protection locked="true" hidden="false"/>
    </xf>
    <xf numFmtId="165" fontId="11" fillId="0" borderId="2" xfId="0" applyFont="true" applyBorder="true" applyAlignment="false" applyProtection="false">
      <alignment horizontal="general" vertical="bottom" textRotation="0" wrapText="false" indent="0" shrinkToFit="false"/>
      <protection locked="true" hidden="false"/>
    </xf>
    <xf numFmtId="167" fontId="8" fillId="0" borderId="0" xfId="0" applyFont="true" applyBorder="false" applyAlignment="true" applyProtection="false">
      <alignment horizontal="right" vertical="bottom" textRotation="0" wrapText="false" indent="0" shrinkToFit="false"/>
      <protection locked="true" hidden="false"/>
    </xf>
    <xf numFmtId="167" fontId="8"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9" fontId="8" fillId="0" borderId="0" xfId="0" applyFont="true" applyBorder="false" applyAlignment="false" applyProtection="false">
      <alignment horizontal="general" vertical="bottom" textRotation="0" wrapText="false" indent="0" shrinkToFit="false"/>
      <protection locked="true" hidden="false"/>
    </xf>
    <xf numFmtId="168" fontId="8"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E8EDF5"/>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002D65"/>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4" min="2" style="0" width="22"/>
  </cols>
  <sheetData>
    <row r="1" customFormat="false" ht="17.35" hidden="false" customHeight="false" outlineLevel="0" collapsed="false">
      <c r="A1" s="1" t="s">
        <v>0</v>
      </c>
      <c r="B1" s="2"/>
      <c r="C1" s="2"/>
      <c r="D1" s="2"/>
    </row>
    <row r="2" customFormat="false" ht="15" hidden="false" customHeight="false" outlineLevel="0" collapsed="false">
      <c r="A2" s="3" t="s">
        <v>1</v>
      </c>
      <c r="B2" s="2"/>
      <c r="C2" s="2"/>
      <c r="D2" s="2"/>
    </row>
    <row r="3" customFormat="false" ht="15" hidden="false" customHeight="false" outlineLevel="0" collapsed="false">
      <c r="A3" s="2"/>
      <c r="B3" s="2"/>
      <c r="C3" s="2"/>
      <c r="D3" s="2"/>
    </row>
    <row r="4" customFormat="false" ht="15" hidden="false" customHeight="false" outlineLevel="0" collapsed="false">
      <c r="A4" s="4" t="s">
        <v>2</v>
      </c>
      <c r="B4" s="4" t="s">
        <v>3</v>
      </c>
      <c r="C4" s="4" t="s">
        <v>4</v>
      </c>
      <c r="D4" s="4" t="s">
        <v>5</v>
      </c>
    </row>
    <row r="5" customFormat="false" ht="15" hidden="false" customHeight="false" outlineLevel="0" collapsed="false">
      <c r="A5" s="5" t="s">
        <v>6</v>
      </c>
      <c r="B5" s="6" t="n">
        <f aca="false">Budget!B7</f>
        <v>168000</v>
      </c>
      <c r="C5" s="6" t="n">
        <f aca="false">Budget!C7</f>
        <v>375000</v>
      </c>
      <c r="D5" s="7" t="n">
        <f aca="false">B5+C5</f>
        <v>543000</v>
      </c>
    </row>
    <row r="6" customFormat="false" ht="15" hidden="false" customHeight="false" outlineLevel="0" collapsed="false">
      <c r="A6" s="5" t="s">
        <v>7</v>
      </c>
      <c r="B6" s="6" t="n">
        <f aca="false">Budget!B11</f>
        <v>152712</v>
      </c>
      <c r="C6" s="6" t="n">
        <f aca="false">Budget!C11</f>
        <v>342249.408</v>
      </c>
      <c r="D6" s="7" t="n">
        <f aca="false">B6+C6</f>
        <v>494961.408</v>
      </c>
    </row>
    <row r="7" customFormat="false" ht="15" hidden="false" customHeight="false" outlineLevel="0" collapsed="false">
      <c r="A7" s="5" t="s">
        <v>8</v>
      </c>
      <c r="B7" s="6" t="n">
        <f aca="false">-Budget!B14</f>
        <v>76356</v>
      </c>
      <c r="C7" s="6" t="n">
        <f aca="false">-Budget!C14</f>
        <v>247480.704</v>
      </c>
      <c r="D7" s="7" t="n">
        <f aca="false">B7+C7</f>
        <v>323836.704</v>
      </c>
    </row>
    <row r="8" customFormat="false" ht="15" hidden="false" customHeight="false" outlineLevel="0" collapsed="false">
      <c r="A8" s="5" t="s">
        <v>9</v>
      </c>
      <c r="B8" s="8" t="n">
        <f aca="false">Budget!B16</f>
        <v>76</v>
      </c>
      <c r="C8" s="8" t="n">
        <f aca="false">Budget!C16</f>
        <v>155</v>
      </c>
      <c r="D8" s="9" t="n">
        <f aca="false">B8+C8</f>
        <v>231</v>
      </c>
    </row>
    <row r="9" customFormat="false" ht="15" hidden="false" customHeight="false" outlineLevel="0" collapsed="false">
      <c r="A9" s="5" t="s">
        <v>10</v>
      </c>
      <c r="B9" s="10" t="str">
        <f aca="false">Budget!B17</f>
        <v>Yes</v>
      </c>
      <c r="C9" s="10" t="str">
        <f aca="false">Budget!C17</f>
        <v>Yes</v>
      </c>
      <c r="D9" s="2"/>
    </row>
    <row r="10" customFormat="false" ht="15" hidden="false" customHeight="false" outlineLevel="0" collapsed="false">
      <c r="A10" s="5" t="s">
        <v>11</v>
      </c>
      <c r="B10" s="6" t="n">
        <f aca="false">Budget!B15</f>
        <v>76356</v>
      </c>
      <c r="C10" s="6" t="n">
        <f aca="false">Budget!C15</f>
        <v>171124.704</v>
      </c>
      <c r="D10" s="2"/>
    </row>
    <row r="11" customFormat="false" ht="15" hidden="false" customHeight="false" outlineLevel="0" collapsed="false">
      <c r="A11" s="5" t="s">
        <v>12</v>
      </c>
      <c r="B11" s="6" t="n">
        <f aca="false">Budget!B24</f>
        <v>41968</v>
      </c>
      <c r="C11" s="6" t="n">
        <f aca="false">Budget!C24</f>
        <v>65527.712</v>
      </c>
      <c r="D11" s="7" t="n">
        <f aca="false">B11+C11</f>
        <v>107495.712</v>
      </c>
    </row>
    <row r="12" customFormat="false" ht="15" hidden="false" customHeight="false" outlineLevel="0" collapsed="false">
      <c r="A12" s="5" t="s">
        <v>13</v>
      </c>
      <c r="B12" s="6" t="n">
        <f aca="false">Budget!B77</f>
        <v>57750</v>
      </c>
      <c r="C12" s="6" t="n">
        <f aca="false">Budget!C77</f>
        <v>69861.75</v>
      </c>
      <c r="D12" s="7" t="n">
        <f aca="false">B12+C12</f>
        <v>127611.75</v>
      </c>
    </row>
    <row r="13" customFormat="false" ht="15" hidden="false" customHeight="false" outlineLevel="0" collapsed="false">
      <c r="A13" s="5" t="s">
        <v>14</v>
      </c>
      <c r="B13" s="6" t="n">
        <f aca="false">Budget!B80</f>
        <v>-15782</v>
      </c>
      <c r="C13" s="6" t="n">
        <f aca="false">Budget!C80</f>
        <v>-4334.038</v>
      </c>
      <c r="D13" s="7" t="n">
        <f aca="false">B13+C13</f>
        <v>-20116.038</v>
      </c>
    </row>
    <row r="14" customFormat="false" ht="15" hidden="false" customHeight="false" outlineLevel="0" collapsed="false">
      <c r="A14" s="5" t="s">
        <v>15</v>
      </c>
      <c r="B14" s="6" t="n">
        <f aca="false">Budget!B82</f>
        <v>-15782</v>
      </c>
      <c r="C14" s="6" t="n">
        <f aca="false">Budget!C82</f>
        <v>-20116.038</v>
      </c>
      <c r="D14" s="2"/>
    </row>
    <row r="15" customFormat="false" ht="15" hidden="false" customHeight="false" outlineLevel="0" collapsed="false">
      <c r="A15" s="2"/>
      <c r="B15" s="2"/>
      <c r="C15" s="2"/>
      <c r="D15" s="2"/>
    </row>
    <row r="16" customFormat="false" ht="15" hidden="false" customHeight="false" outlineLevel="0" collapsed="false">
      <c r="A16" s="11" t="s">
        <v>16</v>
      </c>
      <c r="B16" s="12"/>
      <c r="C16" s="12"/>
      <c r="D16" s="12"/>
    </row>
    <row r="17" customFormat="false" ht="15" hidden="false" customHeight="false" outlineLevel="0" collapsed="false">
      <c r="A17" s="4" t="s">
        <v>17</v>
      </c>
      <c r="B17" s="4" t="s">
        <v>18</v>
      </c>
      <c r="C17" s="4" t="s">
        <v>19</v>
      </c>
      <c r="D17" s="4" t="s">
        <v>20</v>
      </c>
    </row>
    <row r="18" customFormat="false" ht="15" hidden="false" customHeight="false" outlineLevel="0" collapsed="false">
      <c r="A18" s="2" t="s">
        <v>21</v>
      </c>
      <c r="B18" s="6" t="n">
        <f aca="false">Budget!B9</f>
        <v>169680</v>
      </c>
      <c r="C18" s="6" t="n">
        <f aca="false">-(Budget!B12+Budget!C13)</f>
        <v>152712</v>
      </c>
      <c r="D18" s="13" t="n">
        <f aca="false">IFERROR(C18/B18,0)</f>
        <v>0.9</v>
      </c>
    </row>
    <row r="19" customFormat="false" ht="15" hidden="false" customHeight="false" outlineLevel="0" collapsed="false">
      <c r="A19" s="2" t="s">
        <v>22</v>
      </c>
      <c r="B19" s="6" t="n">
        <f aca="false">Budget!C9</f>
        <v>380277.12</v>
      </c>
      <c r="C19" s="6" t="n">
        <f aca="false">-Budget!C12</f>
        <v>171124.704</v>
      </c>
      <c r="D19" s="13" t="n">
        <f aca="false">IFERROR(C19/B19,0)</f>
        <v>0.45</v>
      </c>
    </row>
    <row r="20" customFormat="false" ht="42" hidden="false" customHeight="true" outlineLevel="0" collapsed="false">
      <c r="A20" s="14" t="s">
        <v>23</v>
      </c>
      <c r="B20" s="14"/>
      <c r="C20" s="14"/>
      <c r="D20" s="14"/>
    </row>
    <row r="21" customFormat="false" ht="15" hidden="false" customHeight="false" outlineLevel="0" collapsed="false">
      <c r="A21" s="2"/>
      <c r="B21" s="2"/>
      <c r="C21" s="2"/>
      <c r="D21" s="2"/>
    </row>
    <row r="22" customFormat="false" ht="15" hidden="false" customHeight="false" outlineLevel="0" collapsed="false">
      <c r="A22" s="15" t="s">
        <v>24</v>
      </c>
      <c r="B22" s="2"/>
      <c r="C22" s="2"/>
      <c r="D22" s="2"/>
    </row>
    <row r="23" customFormat="false" ht="15" hidden="false" customHeight="false" outlineLevel="0" collapsed="false">
      <c r="A23" s="16" t="s">
        <v>25</v>
      </c>
      <c r="B23" s="16"/>
      <c r="C23" s="16"/>
      <c r="D23" s="16"/>
    </row>
    <row r="24" customFormat="false" ht="15" hidden="false" customHeight="false" outlineLevel="0" collapsed="false">
      <c r="A24" s="16" t="s">
        <v>26</v>
      </c>
      <c r="B24" s="16"/>
      <c r="C24" s="16"/>
      <c r="D24" s="16"/>
    </row>
    <row r="25" customFormat="false" ht="15" hidden="false" customHeight="false" outlineLevel="0" collapsed="false">
      <c r="A25" s="16" t="s">
        <v>27</v>
      </c>
      <c r="B25" s="16"/>
      <c r="C25" s="16"/>
      <c r="D25" s="16"/>
    </row>
    <row r="26" customFormat="false" ht="15" hidden="false" customHeight="false" outlineLevel="0" collapsed="false">
      <c r="A26" s="16" t="s">
        <v>28</v>
      </c>
      <c r="B26" s="16"/>
      <c r="C26" s="16"/>
      <c r="D26" s="16"/>
    </row>
    <row r="27" customFormat="false" ht="15" hidden="false" customHeight="false" outlineLevel="0" collapsed="false">
      <c r="A27" s="16" t="s">
        <v>29</v>
      </c>
      <c r="B27" s="16"/>
      <c r="C27" s="16"/>
      <c r="D27" s="16"/>
    </row>
  </sheetData>
  <mergeCells count="6">
    <mergeCell ref="A20:D20"/>
    <mergeCell ref="A23:D23"/>
    <mergeCell ref="A24:D24"/>
    <mergeCell ref="A25:D25"/>
    <mergeCell ref="A26:D26"/>
    <mergeCell ref="A27:D2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6" min="2" style="0" width="18"/>
  </cols>
  <sheetData>
    <row r="1" customFormat="false" ht="17.35" hidden="false" customHeight="false" outlineLevel="0" collapsed="false">
      <c r="A1" s="1" t="s">
        <v>30</v>
      </c>
      <c r="B1" s="2"/>
      <c r="C1" s="2"/>
      <c r="D1" s="2"/>
      <c r="E1" s="2"/>
      <c r="F1" s="2"/>
    </row>
    <row r="2" customFormat="false" ht="15" hidden="false" customHeight="false" outlineLevel="0" collapsed="false">
      <c r="A2" s="3" t="s">
        <v>31</v>
      </c>
      <c r="B2" s="2"/>
      <c r="C2" s="2"/>
      <c r="D2" s="2"/>
      <c r="E2" s="2"/>
      <c r="F2" s="2"/>
    </row>
    <row r="3" customFormat="false" ht="15" hidden="false" customHeight="false" outlineLevel="0" collapsed="false">
      <c r="A3" s="2"/>
      <c r="B3" s="2"/>
      <c r="C3" s="2"/>
      <c r="D3" s="2"/>
      <c r="E3" s="2"/>
      <c r="F3" s="2"/>
    </row>
    <row r="4" customFormat="false" ht="15" hidden="false" customHeight="false" outlineLevel="0" collapsed="false">
      <c r="A4" s="4" t="s">
        <v>32</v>
      </c>
      <c r="B4" s="4" t="s">
        <v>3</v>
      </c>
      <c r="C4" s="4" t="s">
        <v>4</v>
      </c>
      <c r="D4" s="4" t="s">
        <v>5</v>
      </c>
      <c r="E4" s="4" t="s">
        <v>33</v>
      </c>
      <c r="F4" s="4" t="s">
        <v>34</v>
      </c>
    </row>
    <row r="5" customFormat="false" ht="15" hidden="false" customHeight="false" outlineLevel="0" collapsed="false">
      <c r="A5" s="5" t="s">
        <v>35</v>
      </c>
      <c r="B5" s="6" t="n">
        <f aca="false">Budget!B32</f>
        <v>17000</v>
      </c>
      <c r="C5" s="6" t="n">
        <f aca="false">Budget!C32</f>
        <v>16500</v>
      </c>
      <c r="D5" s="17" t="n">
        <f aca="false">B5+C5</f>
        <v>33500</v>
      </c>
      <c r="E5" s="13" t="n">
        <f aca="false">IFERROR(C5/C$14,0)</f>
        <v>0.236180742681081</v>
      </c>
      <c r="F5" s="17" t="n">
        <f aca="false">C5/12</f>
        <v>1375</v>
      </c>
    </row>
    <row r="6" customFormat="false" ht="15" hidden="false" customHeight="false" outlineLevel="0" collapsed="false">
      <c r="A6" s="5" t="s">
        <v>36</v>
      </c>
      <c r="B6" s="6" t="n">
        <f aca="false">Budget!B42</f>
        <v>12690</v>
      </c>
      <c r="C6" s="6" t="n">
        <f aca="false">Budget!C42</f>
        <v>16365</v>
      </c>
      <c r="D6" s="17" t="n">
        <f aca="false">B6+C6</f>
        <v>29055</v>
      </c>
      <c r="E6" s="13" t="n">
        <f aca="false">IFERROR(C6/C$14,0)</f>
        <v>0.234248354786417</v>
      </c>
      <c r="F6" s="17" t="n">
        <f aca="false">C6/12</f>
        <v>1363.75</v>
      </c>
    </row>
    <row r="7" customFormat="false" ht="15" hidden="false" customHeight="false" outlineLevel="0" collapsed="false">
      <c r="A7" s="5" t="s">
        <v>37</v>
      </c>
      <c r="B7" s="6" t="n">
        <f aca="false">Budget!B48</f>
        <v>5500</v>
      </c>
      <c r="C7" s="6" t="n">
        <f aca="false">Budget!C48</f>
        <v>6900</v>
      </c>
      <c r="D7" s="17" t="n">
        <f aca="false">B7+C7</f>
        <v>12400</v>
      </c>
      <c r="E7" s="13" t="n">
        <f aca="false">IFERROR(C7/C$14,0)</f>
        <v>0.0987664923939065</v>
      </c>
      <c r="F7" s="17" t="n">
        <f aca="false">C7/12</f>
        <v>575</v>
      </c>
    </row>
    <row r="8" customFormat="false" ht="15" hidden="false" customHeight="false" outlineLevel="0" collapsed="false">
      <c r="A8" s="5" t="s">
        <v>38</v>
      </c>
      <c r="B8" s="6" t="n">
        <f aca="false">Budget!B51</f>
        <v>1500</v>
      </c>
      <c r="C8" s="6" t="n">
        <f aca="false">Budget!C51</f>
        <v>2000</v>
      </c>
      <c r="D8" s="17" t="n">
        <f aca="false">B8+C8</f>
        <v>3500</v>
      </c>
      <c r="E8" s="13" t="n">
        <f aca="false">IFERROR(C8/C$14,0)</f>
        <v>0.028627968809828</v>
      </c>
      <c r="F8" s="17" t="n">
        <f aca="false">C8/12</f>
        <v>166.666666666667</v>
      </c>
    </row>
    <row r="9" customFormat="false" ht="15" hidden="false" customHeight="false" outlineLevel="0" collapsed="false">
      <c r="A9" s="5" t="s">
        <v>39</v>
      </c>
      <c r="B9" s="6" t="n">
        <f aca="false">Budget!B56</f>
        <v>12150</v>
      </c>
      <c r="C9" s="6" t="n">
        <f aca="false">Budget!C56</f>
        <v>18100</v>
      </c>
      <c r="D9" s="17" t="n">
        <f aca="false">B9+C9</f>
        <v>30250</v>
      </c>
      <c r="E9" s="13" t="n">
        <f aca="false">IFERROR(C9/C$14,0)</f>
        <v>0.259083117728943</v>
      </c>
      <c r="F9" s="17" t="n">
        <f aca="false">C9/12</f>
        <v>1508.33333333333</v>
      </c>
    </row>
    <row r="10" customFormat="false" ht="15" hidden="false" customHeight="false" outlineLevel="0" collapsed="false">
      <c r="A10" s="5" t="s">
        <v>40</v>
      </c>
      <c r="B10" s="6" t="n">
        <f aca="false">Budget!B62</f>
        <v>3900</v>
      </c>
      <c r="C10" s="6" t="n">
        <f aca="false">Budget!C62</f>
        <v>4200</v>
      </c>
      <c r="D10" s="17" t="n">
        <f aca="false">B10+C10</f>
        <v>8100</v>
      </c>
      <c r="E10" s="13" t="n">
        <f aca="false">IFERROR(C10/C$14,0)</f>
        <v>0.0601187345006388</v>
      </c>
      <c r="F10" s="17" t="n">
        <f aca="false">C10/12</f>
        <v>350</v>
      </c>
    </row>
    <row r="11" customFormat="false" ht="15" hidden="false" customHeight="false" outlineLevel="0" collapsed="false">
      <c r="A11" s="5" t="s">
        <v>41</v>
      </c>
      <c r="B11" s="6" t="n">
        <f aca="false">Budget!B69</f>
        <v>920</v>
      </c>
      <c r="C11" s="6" t="n">
        <f aca="false">Budget!C69</f>
        <v>330</v>
      </c>
      <c r="D11" s="17" t="n">
        <f aca="false">B11+C11</f>
        <v>1250</v>
      </c>
      <c r="E11" s="13" t="n">
        <f aca="false">IFERROR(C11/C$14,0)</f>
        <v>0.00472361485362162</v>
      </c>
      <c r="F11" s="17" t="n">
        <f aca="false">C11/12</f>
        <v>27.5</v>
      </c>
    </row>
    <row r="12" customFormat="false" ht="15" hidden="false" customHeight="false" outlineLevel="0" collapsed="false">
      <c r="A12" s="5" t="s">
        <v>42</v>
      </c>
      <c r="B12" s="6" t="n">
        <f aca="false">Budget!B74</f>
        <v>1340</v>
      </c>
      <c r="C12" s="6" t="n">
        <f aca="false">Budget!C74</f>
        <v>2140</v>
      </c>
      <c r="D12" s="17" t="n">
        <f aca="false">B12+C12</f>
        <v>3480</v>
      </c>
      <c r="E12" s="13" t="n">
        <f aca="false">IFERROR(C12/C$14,0)</f>
        <v>0.0306319266265159</v>
      </c>
      <c r="F12" s="17" t="n">
        <f aca="false">C12/12</f>
        <v>178.333333333333</v>
      </c>
    </row>
    <row r="13" customFormat="false" ht="15" hidden="false" customHeight="false" outlineLevel="0" collapsed="false">
      <c r="A13" s="2" t="s">
        <v>43</v>
      </c>
      <c r="B13" s="6" t="n">
        <f aca="false">Budget!B76</f>
        <v>2750</v>
      </c>
      <c r="C13" s="6" t="n">
        <f aca="false">Budget!C76</f>
        <v>3326.75</v>
      </c>
      <c r="D13" s="17" t="n">
        <f aca="false">B13+C13</f>
        <v>6076.75</v>
      </c>
      <c r="E13" s="13" t="n">
        <f aca="false">IFERROR(C13/C$14,0)</f>
        <v>0.0476190476190476</v>
      </c>
      <c r="F13" s="17" t="n">
        <f aca="false">C13/12</f>
        <v>277.229166666667</v>
      </c>
    </row>
    <row r="14" customFormat="false" ht="15" hidden="false" customHeight="false" outlineLevel="0" collapsed="false">
      <c r="A14" s="18" t="s">
        <v>13</v>
      </c>
      <c r="B14" s="19" t="n">
        <f aca="false">SUM(B5:B13)</f>
        <v>57750</v>
      </c>
      <c r="C14" s="19" t="n">
        <f aca="false">SUM(C5:C13)</f>
        <v>69861.75</v>
      </c>
      <c r="D14" s="19" t="n">
        <f aca="false">SUM(D5:D13)</f>
        <v>127611.75</v>
      </c>
      <c r="E14" s="13" t="n">
        <f aca="false">IFERROR(C14/C$14,0)</f>
        <v>1</v>
      </c>
      <c r="F14" s="17" t="n">
        <f aca="false">C14/12</f>
        <v>5821.8125</v>
      </c>
    </row>
    <row r="15" customFormat="false" ht="15" hidden="false" customHeight="false" outlineLevel="0" collapsed="false">
      <c r="A15" s="2"/>
      <c r="B15" s="2"/>
      <c r="C15" s="2"/>
      <c r="D15" s="2"/>
      <c r="E15" s="2"/>
      <c r="F15" s="2"/>
    </row>
    <row r="16" customFormat="false" ht="15" hidden="false" customHeight="false" outlineLevel="0" collapsed="false">
      <c r="A16" s="11" t="s">
        <v>44</v>
      </c>
      <c r="B16" s="12"/>
      <c r="C16" s="12"/>
      <c r="D16" s="12"/>
      <c r="E16" s="12"/>
      <c r="F16" s="12"/>
    </row>
    <row r="17" customFormat="false" ht="15" hidden="false" customHeight="false" outlineLevel="0" collapsed="false">
      <c r="A17" s="2" t="s">
        <v>45</v>
      </c>
      <c r="B17" s="6" t="n">
        <f aca="false">Budget!B20</f>
        <v>16968</v>
      </c>
      <c r="C17" s="6" t="n">
        <f aca="false">Budget!C20</f>
        <v>38027.712</v>
      </c>
      <c r="D17" s="7" t="n">
        <f aca="false">B17+C17</f>
        <v>54995.712</v>
      </c>
      <c r="E17" s="2"/>
      <c r="F17" s="2"/>
    </row>
    <row r="18" customFormat="false" ht="15" hidden="false" customHeight="false" outlineLevel="0" collapsed="false">
      <c r="A18" s="2" t="s">
        <v>46</v>
      </c>
      <c r="B18" s="6" t="n">
        <f aca="false">Budget!B21</f>
        <v>15000</v>
      </c>
      <c r="C18" s="6" t="n">
        <f aca="false">Budget!C21</f>
        <v>7500</v>
      </c>
      <c r="D18" s="7" t="n">
        <f aca="false">B18+C18</f>
        <v>22500</v>
      </c>
      <c r="E18" s="2"/>
      <c r="F18" s="2"/>
    </row>
    <row r="19" customFormat="false" ht="15" hidden="false" customHeight="false" outlineLevel="0" collapsed="false">
      <c r="A19" s="2" t="s">
        <v>47</v>
      </c>
      <c r="B19" s="6" t="n">
        <f aca="false">Budget!B22</f>
        <v>10000</v>
      </c>
      <c r="C19" s="6" t="n">
        <f aca="false">Budget!C22</f>
        <v>15000</v>
      </c>
      <c r="D19" s="7" t="n">
        <f aca="false">B19+C19</f>
        <v>25000</v>
      </c>
      <c r="E19" s="2"/>
      <c r="F19" s="2"/>
    </row>
    <row r="20" customFormat="false" ht="15" hidden="false" customHeight="false" outlineLevel="0" collapsed="false">
      <c r="A20" s="2" t="s">
        <v>48</v>
      </c>
      <c r="B20" s="6" t="n">
        <f aca="false">Budget!B23</f>
        <v>0</v>
      </c>
      <c r="C20" s="6" t="n">
        <f aca="false">Budget!C23</f>
        <v>5000</v>
      </c>
      <c r="D20" s="7" t="n">
        <f aca="false">B20+C20</f>
        <v>5000</v>
      </c>
      <c r="E20" s="2"/>
      <c r="F20" s="2"/>
    </row>
    <row r="21" customFormat="false" ht="15" hidden="false" customHeight="false" outlineLevel="0" collapsed="false">
      <c r="A21" s="18" t="s">
        <v>12</v>
      </c>
      <c r="B21" s="20" t="n">
        <f aca="false">Budget!B24</f>
        <v>41968</v>
      </c>
      <c r="C21" s="20" t="n">
        <f aca="false">Budget!C24</f>
        <v>65527.712</v>
      </c>
      <c r="D21" s="20" t="n">
        <f aca="false">B21+C21</f>
        <v>107495.712</v>
      </c>
      <c r="E21" s="2"/>
      <c r="F21" s="2"/>
    </row>
    <row r="22" customFormat="false" ht="15" hidden="false" customHeight="false" outlineLevel="0" collapsed="false">
      <c r="A22" s="21" t="s">
        <v>49</v>
      </c>
      <c r="B22" s="19" t="n">
        <f aca="false">Budget!B80</f>
        <v>-15782</v>
      </c>
      <c r="C22" s="19" t="n">
        <f aca="false">Budget!C80</f>
        <v>-4334.038</v>
      </c>
      <c r="D22" s="19" t="n">
        <f aca="false">B22+C22</f>
        <v>-20116.038</v>
      </c>
      <c r="E22" s="2"/>
      <c r="F22"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8"/>
    <col collapsed="false" customWidth="true" hidden="false" outlineLevel="0" max="3" min="2" style="0" width="17"/>
    <col collapsed="false" customWidth="true" hidden="false" outlineLevel="0" max="4" min="4" style="0" width="90"/>
  </cols>
  <sheetData>
    <row r="1" customFormat="false" ht="17.35" hidden="false" customHeight="false" outlineLevel="0" collapsed="false">
      <c r="A1" s="1" t="s">
        <v>50</v>
      </c>
      <c r="B1" s="2"/>
      <c r="C1" s="2"/>
      <c r="D1" s="2"/>
    </row>
    <row r="2" customFormat="false" ht="15" hidden="false" customHeight="false" outlineLevel="0" collapsed="false">
      <c r="A2" s="3" t="s">
        <v>51</v>
      </c>
      <c r="B2" s="2"/>
      <c r="C2" s="2"/>
      <c r="D2" s="2"/>
    </row>
    <row r="3" customFormat="false" ht="15" hidden="false" customHeight="false" outlineLevel="0" collapsed="false">
      <c r="A3" s="2"/>
      <c r="B3" s="2"/>
      <c r="C3" s="2"/>
      <c r="D3" s="2"/>
    </row>
    <row r="4" customFormat="false" ht="15" hidden="false" customHeight="false" outlineLevel="0" collapsed="false">
      <c r="A4" s="4" t="s">
        <v>52</v>
      </c>
      <c r="B4" s="4" t="s">
        <v>3</v>
      </c>
      <c r="C4" s="4" t="s">
        <v>4</v>
      </c>
      <c r="D4" s="4" t="s">
        <v>53</v>
      </c>
    </row>
    <row r="5" customFormat="false" ht="15" hidden="false" customHeight="false" outlineLevel="0" collapsed="false">
      <c r="A5" s="11" t="s">
        <v>54</v>
      </c>
      <c r="B5" s="11"/>
      <c r="C5" s="11"/>
      <c r="D5" s="11"/>
    </row>
    <row r="6" customFormat="false" ht="15" hidden="false" customHeight="false" outlineLevel="0" collapsed="false">
      <c r="A6" s="5" t="s">
        <v>55</v>
      </c>
      <c r="B6" s="22" t="n">
        <v>120</v>
      </c>
      <c r="C6" s="22" t="n">
        <v>250</v>
      </c>
      <c r="D6" s="23" t="s">
        <v>56</v>
      </c>
    </row>
    <row r="7" customFormat="false" ht="15" hidden="false" customHeight="false" outlineLevel="0" collapsed="false">
      <c r="A7" s="5" t="s">
        <v>57</v>
      </c>
      <c r="B7" s="24" t="n">
        <v>1400</v>
      </c>
      <c r="C7" s="24" t="n">
        <v>1500</v>
      </c>
      <c r="D7" s="23" t="s">
        <v>58</v>
      </c>
    </row>
    <row r="8" customFormat="false" ht="15" hidden="false" customHeight="false" outlineLevel="0" collapsed="false">
      <c r="A8" s="5" t="s">
        <v>59</v>
      </c>
      <c r="B8" s="25" t="n">
        <v>0.02</v>
      </c>
      <c r="C8" s="25" t="n">
        <v>0.02</v>
      </c>
      <c r="D8" s="23" t="s">
        <v>60</v>
      </c>
    </row>
    <row r="9" customFormat="false" ht="26.85" hidden="false" customHeight="false" outlineLevel="0" collapsed="false">
      <c r="A9" s="5" t="s">
        <v>61</v>
      </c>
      <c r="B9" s="26" t="n">
        <v>0.1</v>
      </c>
      <c r="C9" s="26" t="n">
        <v>0.1</v>
      </c>
      <c r="D9" s="23" t="s">
        <v>62</v>
      </c>
    </row>
    <row r="10" customFormat="false" ht="15" hidden="false" customHeight="false" outlineLevel="0" collapsed="false">
      <c r="A10" s="5" t="s">
        <v>63</v>
      </c>
      <c r="B10" s="25" t="n">
        <v>0.025</v>
      </c>
      <c r="C10" s="25" t="n">
        <v>0.025</v>
      </c>
      <c r="D10" s="23" t="s">
        <v>64</v>
      </c>
    </row>
    <row r="11" customFormat="false" ht="26.85" hidden="false" customHeight="false" outlineLevel="0" collapsed="false">
      <c r="A11" s="5" t="s">
        <v>65</v>
      </c>
      <c r="B11" s="25" t="n">
        <v>0.5</v>
      </c>
      <c r="C11" s="25" t="n">
        <v>0.5</v>
      </c>
      <c r="D11" s="23" t="s">
        <v>66</v>
      </c>
    </row>
    <row r="12" customFormat="false" ht="26.85" hidden="false" customHeight="false" outlineLevel="0" collapsed="false">
      <c r="A12" s="5" t="s">
        <v>67</v>
      </c>
      <c r="B12" s="24" t="n">
        <v>2000</v>
      </c>
      <c r="C12" s="24" t="n">
        <v>2200</v>
      </c>
      <c r="D12" s="23" t="s">
        <v>68</v>
      </c>
    </row>
    <row r="13" customFormat="false" ht="15" hidden="false" customHeight="false" outlineLevel="0" collapsed="false">
      <c r="A13" s="2"/>
      <c r="B13" s="2"/>
      <c r="C13" s="2"/>
      <c r="D13" s="2"/>
    </row>
    <row r="14" customFormat="false" ht="15" hidden="false" customHeight="false" outlineLevel="0" collapsed="false">
      <c r="A14" s="11" t="s">
        <v>69</v>
      </c>
      <c r="B14" s="11"/>
      <c r="C14" s="11"/>
      <c r="D14" s="11"/>
    </row>
    <row r="15" customFormat="false" ht="26.85" hidden="false" customHeight="false" outlineLevel="0" collapsed="false">
      <c r="A15" s="5" t="s">
        <v>70</v>
      </c>
      <c r="B15" s="24" t="n">
        <v>15000</v>
      </c>
      <c r="C15" s="24" t="n">
        <v>7500</v>
      </c>
      <c r="D15" s="23" t="s">
        <v>71</v>
      </c>
    </row>
    <row r="16" customFormat="false" ht="26.85" hidden="false" customHeight="false" outlineLevel="0" collapsed="false">
      <c r="A16" s="5" t="s">
        <v>72</v>
      </c>
      <c r="B16" s="27" t="n">
        <v>10000</v>
      </c>
      <c r="C16" s="27" t="n">
        <v>15000</v>
      </c>
      <c r="D16" s="23" t="s">
        <v>73</v>
      </c>
    </row>
    <row r="17" customFormat="false" ht="15" hidden="false" customHeight="false" outlineLevel="0" collapsed="false">
      <c r="A17" s="5" t="s">
        <v>74</v>
      </c>
      <c r="B17" s="27" t="n">
        <v>0</v>
      </c>
      <c r="C17" s="27" t="n">
        <v>5000</v>
      </c>
      <c r="D17" s="23" t="s">
        <v>75</v>
      </c>
    </row>
    <row r="18" customFormat="false" ht="15" hidden="false" customHeight="false" outlineLevel="0" collapsed="false">
      <c r="A18" s="5" t="s">
        <v>76</v>
      </c>
      <c r="B18" s="27" t="n">
        <v>0</v>
      </c>
      <c r="C18" s="27"/>
      <c r="D18" s="23" t="s">
        <v>77</v>
      </c>
    </row>
    <row r="19" customFormat="false" ht="15" hidden="false" customHeight="false" outlineLevel="0" collapsed="false">
      <c r="A19" s="2"/>
      <c r="B19" s="2"/>
      <c r="C19" s="2"/>
      <c r="D19" s="2"/>
    </row>
    <row r="20" customFormat="false" ht="15" hidden="false" customHeight="false" outlineLevel="0" collapsed="false">
      <c r="A20" s="11" t="s">
        <v>78</v>
      </c>
      <c r="B20" s="11"/>
      <c r="C20" s="11"/>
      <c r="D20" s="11"/>
    </row>
    <row r="21" customFormat="false" ht="39.55" hidden="false" customHeight="false" outlineLevel="0" collapsed="false">
      <c r="A21" s="5" t="s">
        <v>79</v>
      </c>
      <c r="B21" s="22" t="n">
        <v>2</v>
      </c>
      <c r="C21" s="22" t="n">
        <v>3</v>
      </c>
      <c r="D21" s="23" t="s">
        <v>80</v>
      </c>
    </row>
    <row r="22" customFormat="false" ht="15" hidden="false" customHeight="false" outlineLevel="0" collapsed="false">
      <c r="A22" s="5" t="s">
        <v>81</v>
      </c>
      <c r="B22" s="24" t="n">
        <v>500</v>
      </c>
      <c r="C22" s="24" t="n">
        <v>500</v>
      </c>
      <c r="D22" s="23" t="s">
        <v>82</v>
      </c>
    </row>
    <row r="23" customFormat="false" ht="15" hidden="false" customHeight="false" outlineLevel="0" collapsed="false">
      <c r="A23" s="5" t="s">
        <v>83</v>
      </c>
      <c r="B23" s="28" t="n">
        <v>12</v>
      </c>
      <c r="C23" s="28" t="n">
        <v>12</v>
      </c>
      <c r="D23" s="23" t="s">
        <v>84</v>
      </c>
    </row>
    <row r="24" customFormat="false" ht="15" hidden="false" customHeight="false" outlineLevel="0" collapsed="false">
      <c r="A24" s="2"/>
      <c r="B24" s="2"/>
      <c r="C24" s="2"/>
      <c r="D24" s="2"/>
    </row>
    <row r="25" customFormat="false" ht="15" hidden="false" customHeight="false" outlineLevel="0" collapsed="false">
      <c r="A25" s="11" t="s">
        <v>85</v>
      </c>
      <c r="B25" s="11"/>
      <c r="C25" s="11"/>
      <c r="D25" s="11"/>
    </row>
    <row r="26" customFormat="false" ht="15" hidden="false" customHeight="false" outlineLevel="0" collapsed="false">
      <c r="A26" s="5" t="s">
        <v>86</v>
      </c>
      <c r="B26" s="25" t="n">
        <v>0.05</v>
      </c>
      <c r="C26" s="25" t="n">
        <v>0.05</v>
      </c>
      <c r="D26" s="23" t="s">
        <v>87</v>
      </c>
    </row>
    <row r="27" customFormat="false" ht="15" hidden="false" customHeight="false" outlineLevel="0" collapsed="false">
      <c r="A27" s="5" t="s">
        <v>88</v>
      </c>
      <c r="B27" s="28" t="n">
        <v>10</v>
      </c>
      <c r="C27" s="28" t="n">
        <v>10</v>
      </c>
      <c r="D27" s="23" t="s">
        <v>89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8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58"/>
    <col collapsed="false" customWidth="true" hidden="false" outlineLevel="0" max="4" min="2" style="0" width="17"/>
    <col collapsed="false" customWidth="true" hidden="false" outlineLevel="0" max="5" min="5" style="0" width="80"/>
  </cols>
  <sheetData>
    <row r="1" customFormat="false" ht="17.35" hidden="false" customHeight="false" outlineLevel="0" collapsed="false">
      <c r="A1" s="1" t="s">
        <v>90</v>
      </c>
      <c r="B1" s="2"/>
      <c r="C1" s="2"/>
      <c r="D1" s="2"/>
      <c r="E1" s="2"/>
    </row>
    <row r="2" customFormat="false" ht="15" hidden="false" customHeight="false" outlineLevel="0" collapsed="false">
      <c r="A2" s="3" t="s">
        <v>91</v>
      </c>
      <c r="B2" s="2"/>
      <c r="C2" s="2"/>
      <c r="D2" s="2"/>
      <c r="E2" s="2"/>
    </row>
    <row r="3" customFormat="false" ht="15" hidden="false" customHeight="false" outlineLevel="0" collapsed="false">
      <c r="A3" s="2"/>
      <c r="B3" s="2"/>
      <c r="C3" s="2"/>
      <c r="D3" s="2"/>
      <c r="E3" s="2"/>
    </row>
    <row r="4" customFormat="false" ht="15" hidden="false" customHeight="false" outlineLevel="0" collapsed="false">
      <c r="A4" s="4" t="s">
        <v>92</v>
      </c>
      <c r="B4" s="4" t="s">
        <v>3</v>
      </c>
      <c r="C4" s="4" t="s">
        <v>4</v>
      </c>
      <c r="D4" s="4" t="s">
        <v>5</v>
      </c>
      <c r="E4" s="4" t="s">
        <v>53</v>
      </c>
    </row>
    <row r="5" customFormat="false" ht="15" hidden="false" customHeight="false" outlineLevel="0" collapsed="false">
      <c r="A5" s="11" t="s">
        <v>93</v>
      </c>
      <c r="B5" s="11"/>
      <c r="C5" s="11"/>
      <c r="D5" s="11"/>
      <c r="E5" s="11"/>
    </row>
    <row r="6" customFormat="false" ht="15" hidden="false" customHeight="false" outlineLevel="0" collapsed="false">
      <c r="A6" s="5" t="s">
        <v>94</v>
      </c>
      <c r="B6" s="7" t="n">
        <f aca="false">0</f>
        <v>0</v>
      </c>
      <c r="C6" s="7" t="n">
        <f aca="false">B15</f>
        <v>76356</v>
      </c>
      <c r="D6" s="7"/>
      <c r="E6" s="23" t="s">
        <v>95</v>
      </c>
    </row>
    <row r="7" customFormat="false" ht="15" hidden="false" customHeight="false" outlineLevel="0" collapsed="false">
      <c r="A7" s="5" t="s">
        <v>6</v>
      </c>
      <c r="B7" s="7" t="n">
        <f aca="false">Assumptions!$B$6*Assumptions!$B$7</f>
        <v>168000</v>
      </c>
      <c r="C7" s="7" t="n">
        <f aca="false">Assumptions!$C$6*Assumptions!$C$7</f>
        <v>375000</v>
      </c>
      <c r="D7" s="7" t="n">
        <f aca="false">B7+C7</f>
        <v>543000</v>
      </c>
      <c r="E7" s="23" t="s">
        <v>96</v>
      </c>
    </row>
    <row r="8" customFormat="false" ht="15" hidden="false" customHeight="false" outlineLevel="0" collapsed="false">
      <c r="A8" s="5" t="s">
        <v>97</v>
      </c>
      <c r="B8" s="7" t="n">
        <f aca="false">Assumptions!$B$8*(B6+B7/2)</f>
        <v>1680</v>
      </c>
      <c r="C8" s="7" t="n">
        <f aca="false">Assumptions!$C$8*(C6+C7/2)</f>
        <v>5277.12</v>
      </c>
      <c r="D8" s="7" t="n">
        <f aca="false">B8+C8</f>
        <v>6957.12</v>
      </c>
      <c r="E8" s="23" t="s">
        <v>98</v>
      </c>
    </row>
    <row r="9" customFormat="false" ht="15" hidden="false" customHeight="false" outlineLevel="0" collapsed="false">
      <c r="A9" s="18" t="s">
        <v>99</v>
      </c>
      <c r="B9" s="29" t="n">
        <f aca="false">B7+B8</f>
        <v>169680</v>
      </c>
      <c r="C9" s="29" t="n">
        <f aca="false">C7+C8</f>
        <v>380277.12</v>
      </c>
      <c r="D9" s="29" t="n">
        <f aca="false">B9+C9</f>
        <v>549957.12</v>
      </c>
      <c r="E9" s="2"/>
    </row>
    <row r="10" customFormat="false" ht="26.85" hidden="false" customHeight="false" outlineLevel="0" collapsed="false">
      <c r="A10" s="5" t="s">
        <v>100</v>
      </c>
      <c r="B10" s="7" t="n">
        <f aca="false">-Assumptions!$B$9*B9</f>
        <v>-16968</v>
      </c>
      <c r="C10" s="7" t="n">
        <f aca="false">-Assumptions!$C$9*C9</f>
        <v>-38027.712</v>
      </c>
      <c r="D10" s="7" t="n">
        <f aca="false">B10+C10</f>
        <v>-54995.712</v>
      </c>
      <c r="E10" s="23" t="s">
        <v>101</v>
      </c>
    </row>
    <row r="11" customFormat="false" ht="15" hidden="false" customHeight="false" outlineLevel="0" collapsed="false">
      <c r="A11" s="18" t="s">
        <v>102</v>
      </c>
      <c r="B11" s="20" t="n">
        <f aca="false">B9+B10</f>
        <v>152712</v>
      </c>
      <c r="C11" s="20" t="n">
        <f aca="false">C9+C10</f>
        <v>342249.408</v>
      </c>
      <c r="D11" s="20" t="n">
        <f aca="false">B11+C11</f>
        <v>494961.408</v>
      </c>
      <c r="E11" s="23" t="s">
        <v>103</v>
      </c>
    </row>
    <row r="12" customFormat="false" ht="15" hidden="false" customHeight="false" outlineLevel="0" collapsed="false">
      <c r="A12" s="5" t="s">
        <v>104</v>
      </c>
      <c r="B12" s="7" t="n">
        <f aca="false">-B11*Assumptions!$B$11</f>
        <v>-76356</v>
      </c>
      <c r="C12" s="7" t="n">
        <f aca="false">-C11*Assumptions!$C$11</f>
        <v>-171124.704</v>
      </c>
      <c r="D12" s="7" t="n">
        <f aca="false">B12+C12</f>
        <v>-247480.704</v>
      </c>
      <c r="E12" s="23" t="s">
        <v>105</v>
      </c>
    </row>
    <row r="13" customFormat="false" ht="15" hidden="false" customHeight="false" outlineLevel="0" collapsed="false">
      <c r="A13" s="5" t="s">
        <v>106</v>
      </c>
      <c r="B13" s="7" t="n">
        <f aca="false">0</f>
        <v>0</v>
      </c>
      <c r="C13" s="7" t="n">
        <f aca="false">-B11*(1-Assumptions!$B$11)</f>
        <v>-76356</v>
      </c>
      <c r="D13" s="7" t="n">
        <f aca="false">B13+C13</f>
        <v>-76356</v>
      </c>
      <c r="E13" s="23" t="s">
        <v>107</v>
      </c>
    </row>
    <row r="14" customFormat="false" ht="15" hidden="false" customHeight="false" outlineLevel="0" collapsed="false">
      <c r="A14" s="18" t="s">
        <v>108</v>
      </c>
      <c r="B14" s="29" t="n">
        <f aca="false">B12+B13</f>
        <v>-76356</v>
      </c>
      <c r="C14" s="29" t="n">
        <f aca="false">C12+C13</f>
        <v>-247480.704</v>
      </c>
      <c r="D14" s="29" t="n">
        <f aca="false">B14+C14</f>
        <v>-323836.704</v>
      </c>
      <c r="E14" s="2"/>
    </row>
    <row r="15" customFormat="false" ht="15" hidden="false" customHeight="false" outlineLevel="0" collapsed="false">
      <c r="A15" s="18" t="s">
        <v>109</v>
      </c>
      <c r="B15" s="19" t="n">
        <f aca="false">B6+B9+B10+B14</f>
        <v>76356</v>
      </c>
      <c r="C15" s="19" t="n">
        <f aca="false">C6+C9+C10+C14</f>
        <v>171124.704</v>
      </c>
      <c r="D15" s="19"/>
      <c r="E15" s="23" t="s">
        <v>110</v>
      </c>
    </row>
    <row r="16" customFormat="false" ht="15" hidden="false" customHeight="false" outlineLevel="0" collapsed="false">
      <c r="A16" s="5" t="s">
        <v>9</v>
      </c>
      <c r="B16" s="9" t="n">
        <f aca="false">IFERROR(ROUNDDOWN(B11/Assumptions!$B$12,0),0)</f>
        <v>76</v>
      </c>
      <c r="C16" s="9" t="n">
        <f aca="false">IFERROR(ROUNDDOWN(C11/Assumptions!$C$12,0),0)</f>
        <v>155</v>
      </c>
      <c r="D16" s="9"/>
      <c r="E16" s="23" t="s">
        <v>111</v>
      </c>
    </row>
    <row r="17" customFormat="false" ht="15" hidden="false" customHeight="false" outlineLevel="0" collapsed="false">
      <c r="A17" s="5" t="s">
        <v>112</v>
      </c>
      <c r="B17" s="30" t="str">
        <f aca="false">IF(B16&gt;=Assumptions!$B$27,"Yes","No: below minimum")</f>
        <v>Yes</v>
      </c>
      <c r="C17" s="30" t="str">
        <f aca="false">IF(C16&gt;=Assumptions!$C$27,"Yes","No: below minimum")</f>
        <v>Yes</v>
      </c>
      <c r="D17" s="31"/>
      <c r="E17" s="2"/>
    </row>
    <row r="18" customFormat="false" ht="15" hidden="false" customHeight="false" outlineLevel="0" collapsed="false">
      <c r="A18" s="2"/>
      <c r="B18" s="2"/>
      <c r="C18" s="2"/>
      <c r="D18" s="2"/>
      <c r="E18" s="2"/>
    </row>
    <row r="19" customFormat="false" ht="15" hidden="false" customHeight="false" outlineLevel="0" collapsed="false">
      <c r="A19" s="11" t="s">
        <v>113</v>
      </c>
      <c r="B19" s="11"/>
      <c r="C19" s="11"/>
      <c r="D19" s="11"/>
      <c r="E19" s="11"/>
    </row>
    <row r="20" customFormat="false" ht="15" hidden="false" customHeight="false" outlineLevel="0" collapsed="false">
      <c r="A20" s="5" t="s">
        <v>114</v>
      </c>
      <c r="B20" s="7" t="n">
        <f aca="false">-B10</f>
        <v>16968</v>
      </c>
      <c r="C20" s="7" t="n">
        <f aca="false">-C10</f>
        <v>38027.712</v>
      </c>
      <c r="D20" s="7" t="n">
        <f aca="false">B20+C20</f>
        <v>54995.712</v>
      </c>
      <c r="E20" s="2"/>
    </row>
    <row r="21" customFormat="false" ht="15" hidden="false" customHeight="false" outlineLevel="0" collapsed="false">
      <c r="A21" s="5" t="s">
        <v>46</v>
      </c>
      <c r="B21" s="6" t="n">
        <f aca="false">Assumptions!$B$15</f>
        <v>15000</v>
      </c>
      <c r="C21" s="6" t="n">
        <f aca="false">Assumptions!$C$15</f>
        <v>7500</v>
      </c>
      <c r="D21" s="7" t="n">
        <f aca="false">B21+C21</f>
        <v>22500</v>
      </c>
      <c r="E21" s="2"/>
    </row>
    <row r="22" customFormat="false" ht="15" hidden="false" customHeight="false" outlineLevel="0" collapsed="false">
      <c r="A22" s="5" t="s">
        <v>47</v>
      </c>
      <c r="B22" s="6" t="n">
        <f aca="false">Assumptions!$B$16</f>
        <v>10000</v>
      </c>
      <c r="C22" s="6" t="n">
        <f aca="false">Assumptions!$C$16</f>
        <v>15000</v>
      </c>
      <c r="D22" s="7" t="n">
        <f aca="false">B22+C22</f>
        <v>25000</v>
      </c>
      <c r="E22" s="2"/>
    </row>
    <row r="23" customFormat="false" ht="15" hidden="false" customHeight="false" outlineLevel="0" collapsed="false">
      <c r="A23" s="5" t="s">
        <v>48</v>
      </c>
      <c r="B23" s="6" t="n">
        <f aca="false">Assumptions!$B$17</f>
        <v>0</v>
      </c>
      <c r="C23" s="6" t="n">
        <f aca="false">Assumptions!$C$17</f>
        <v>5000</v>
      </c>
      <c r="D23" s="7" t="n">
        <f aca="false">B23+C23</f>
        <v>5000</v>
      </c>
      <c r="E23" s="2"/>
    </row>
    <row r="24" customFormat="false" ht="15" hidden="false" customHeight="false" outlineLevel="0" collapsed="false">
      <c r="A24" s="18" t="s">
        <v>12</v>
      </c>
      <c r="B24" s="19" t="n">
        <f aca="false">SUM(B20:B23)</f>
        <v>41968</v>
      </c>
      <c r="C24" s="19" t="n">
        <f aca="false">SUM(C20:C23)</f>
        <v>65527.712</v>
      </c>
      <c r="D24" s="19" t="n">
        <f aca="false">B24+C24</f>
        <v>107495.712</v>
      </c>
      <c r="E24" s="2"/>
    </row>
    <row r="25" customFormat="false" ht="15" hidden="false" customHeight="false" outlineLevel="0" collapsed="false">
      <c r="A25" s="2"/>
      <c r="B25" s="2"/>
      <c r="C25" s="2"/>
      <c r="D25" s="2"/>
      <c r="E25" s="2"/>
    </row>
    <row r="26" customFormat="false" ht="15" hidden="false" customHeight="false" outlineLevel="0" collapsed="false">
      <c r="A26" s="11" t="s">
        <v>115</v>
      </c>
      <c r="B26" s="11"/>
      <c r="C26" s="11"/>
      <c r="D26" s="11"/>
      <c r="E26" s="11"/>
    </row>
    <row r="27" customFormat="false" ht="15" hidden="false" customHeight="false" outlineLevel="0" collapsed="false">
      <c r="A27" s="32" t="s">
        <v>35</v>
      </c>
      <c r="B27" s="2"/>
      <c r="C27" s="2"/>
      <c r="D27" s="2"/>
      <c r="E27" s="2"/>
    </row>
    <row r="28" customFormat="false" ht="26.85" hidden="false" customHeight="false" outlineLevel="0" collapsed="false">
      <c r="A28" s="5" t="s">
        <v>116</v>
      </c>
      <c r="B28" s="27" t="n">
        <v>2000</v>
      </c>
      <c r="C28" s="27" t="n">
        <v>3500</v>
      </c>
      <c r="D28" s="7" t="n">
        <f aca="false">B28+C28</f>
        <v>5500</v>
      </c>
      <c r="E28" s="23" t="s">
        <v>117</v>
      </c>
    </row>
    <row r="29" customFormat="false" ht="26.85" hidden="false" customHeight="false" outlineLevel="0" collapsed="false">
      <c r="A29" s="5" t="s">
        <v>118</v>
      </c>
      <c r="B29" s="27" t="n">
        <v>3000</v>
      </c>
      <c r="C29" s="27" t="n">
        <v>1500</v>
      </c>
      <c r="D29" s="7" t="n">
        <f aca="false">B29+C29</f>
        <v>4500</v>
      </c>
      <c r="E29" s="23" t="s">
        <v>119</v>
      </c>
    </row>
    <row r="30" customFormat="false" ht="26.85" hidden="false" customHeight="false" outlineLevel="0" collapsed="false">
      <c r="A30" s="5" t="s">
        <v>120</v>
      </c>
      <c r="B30" s="27" t="n">
        <v>4000</v>
      </c>
      <c r="C30" s="27" t="n">
        <v>1500</v>
      </c>
      <c r="D30" s="7" t="n">
        <f aca="false">B30+C30</f>
        <v>5500</v>
      </c>
      <c r="E30" s="23" t="s">
        <v>121</v>
      </c>
    </row>
    <row r="31" customFormat="false" ht="26.85" hidden="false" customHeight="false" outlineLevel="0" collapsed="false">
      <c r="A31" s="5" t="s">
        <v>122</v>
      </c>
      <c r="B31" s="27" t="n">
        <v>8000</v>
      </c>
      <c r="C31" s="27" t="n">
        <v>10000</v>
      </c>
      <c r="D31" s="7" t="n">
        <f aca="false">B31+C31</f>
        <v>18000</v>
      </c>
      <c r="E31" s="23" t="s">
        <v>123</v>
      </c>
    </row>
    <row r="32" customFormat="false" ht="15" hidden="false" customHeight="false" outlineLevel="0" collapsed="false">
      <c r="A32" s="18" t="s">
        <v>124</v>
      </c>
      <c r="B32" s="29" t="n">
        <f aca="false">SUM(B28:B31)</f>
        <v>17000</v>
      </c>
      <c r="C32" s="29" t="n">
        <f aca="false">SUM(C28:C31)</f>
        <v>16500</v>
      </c>
      <c r="D32" s="29" t="n">
        <f aca="false">SUM(D28:D31)</f>
        <v>33500</v>
      </c>
      <c r="E32" s="2"/>
    </row>
    <row r="33" customFormat="false" ht="15" hidden="false" customHeight="false" outlineLevel="0" collapsed="false">
      <c r="A33" s="32" t="s">
        <v>36</v>
      </c>
      <c r="B33" s="2"/>
      <c r="C33" s="2"/>
      <c r="D33" s="2"/>
      <c r="E33" s="2"/>
    </row>
    <row r="34" customFormat="false" ht="26.85" hidden="false" customHeight="false" outlineLevel="0" collapsed="false">
      <c r="A34" s="5" t="s">
        <v>125</v>
      </c>
      <c r="B34" s="27" t="n">
        <v>7500</v>
      </c>
      <c r="C34" s="27" t="n">
        <v>6000</v>
      </c>
      <c r="D34" s="7" t="n">
        <f aca="false">B34+C34</f>
        <v>13500</v>
      </c>
      <c r="E34" s="23" t="s">
        <v>126</v>
      </c>
    </row>
    <row r="35" customFormat="false" ht="26.85" hidden="false" customHeight="false" outlineLevel="0" collapsed="false">
      <c r="A35" s="5" t="s">
        <v>127</v>
      </c>
      <c r="B35" s="27" t="n">
        <v>500</v>
      </c>
      <c r="C35" s="27" t="n">
        <v>500</v>
      </c>
      <c r="D35" s="7" t="n">
        <f aca="false">B35+C35</f>
        <v>1000</v>
      </c>
      <c r="E35" s="23" t="s">
        <v>128</v>
      </c>
    </row>
    <row r="36" customFormat="false" ht="15" hidden="false" customHeight="false" outlineLevel="0" collapsed="false">
      <c r="A36" s="5" t="s">
        <v>129</v>
      </c>
      <c r="B36" s="7" t="n">
        <f aca="false">Assumptions!$B$10*B7</f>
        <v>4200</v>
      </c>
      <c r="C36" s="7" t="n">
        <f aca="false">Assumptions!$C$10*C7</f>
        <v>9375</v>
      </c>
      <c r="D36" s="7" t="n">
        <f aca="false">B36+C36</f>
        <v>13575</v>
      </c>
      <c r="E36" s="23" t="s">
        <v>130</v>
      </c>
    </row>
    <row r="37" customFormat="false" ht="15" hidden="false" customHeight="false" outlineLevel="0" collapsed="false">
      <c r="A37" s="5" t="s">
        <v>131</v>
      </c>
      <c r="B37" s="27" t="n">
        <v>150</v>
      </c>
      <c r="C37" s="27" t="n">
        <v>150</v>
      </c>
      <c r="D37" s="7" t="n">
        <f aca="false">B37+C37</f>
        <v>300</v>
      </c>
      <c r="E37" s="23" t="s">
        <v>132</v>
      </c>
    </row>
    <row r="38" customFormat="false" ht="15" hidden="false" customHeight="false" outlineLevel="0" collapsed="false">
      <c r="A38" s="5" t="s">
        <v>133</v>
      </c>
      <c r="B38" s="27" t="n">
        <v>120</v>
      </c>
      <c r="C38" s="27" t="n">
        <v>120</v>
      </c>
      <c r="D38" s="7" t="n">
        <f aca="false">B38+C38</f>
        <v>240</v>
      </c>
      <c r="E38" s="23" t="s">
        <v>134</v>
      </c>
    </row>
    <row r="39" customFormat="false" ht="15" hidden="false" customHeight="false" outlineLevel="0" collapsed="false">
      <c r="A39" s="5" t="s">
        <v>135</v>
      </c>
      <c r="B39" s="27" t="n">
        <v>0</v>
      </c>
      <c r="C39" s="27" t="n">
        <v>0</v>
      </c>
      <c r="D39" s="7" t="n">
        <f aca="false">B39+C39</f>
        <v>0</v>
      </c>
      <c r="E39" s="23" t="s">
        <v>136</v>
      </c>
    </row>
    <row r="40" customFormat="false" ht="15" hidden="false" customHeight="false" outlineLevel="0" collapsed="false">
      <c r="A40" s="5" t="s">
        <v>137</v>
      </c>
      <c r="B40" s="27" t="n">
        <v>120</v>
      </c>
      <c r="C40" s="27" t="n">
        <v>120</v>
      </c>
      <c r="D40" s="7" t="n">
        <f aca="false">B40+C40</f>
        <v>240</v>
      </c>
      <c r="E40" s="23" t="s">
        <v>138</v>
      </c>
    </row>
    <row r="41" customFormat="false" ht="15" hidden="false" customHeight="false" outlineLevel="0" collapsed="false">
      <c r="A41" s="5" t="s">
        <v>139</v>
      </c>
      <c r="B41" s="27" t="n">
        <v>100</v>
      </c>
      <c r="C41" s="27" t="n">
        <v>100</v>
      </c>
      <c r="D41" s="7" t="n">
        <f aca="false">B41+C41</f>
        <v>200</v>
      </c>
      <c r="E41" s="23" t="s">
        <v>140</v>
      </c>
    </row>
    <row r="42" customFormat="false" ht="15" hidden="false" customHeight="false" outlineLevel="0" collapsed="false">
      <c r="A42" s="18" t="s">
        <v>141</v>
      </c>
      <c r="B42" s="29" t="n">
        <f aca="false">SUM(B34:B41)</f>
        <v>12690</v>
      </c>
      <c r="C42" s="29" t="n">
        <f aca="false">SUM(C34:C41)</f>
        <v>16365</v>
      </c>
      <c r="D42" s="29" t="n">
        <f aca="false">SUM(D34:D41)</f>
        <v>29055</v>
      </c>
      <c r="E42" s="2"/>
    </row>
    <row r="43" customFormat="false" ht="15" hidden="false" customHeight="false" outlineLevel="0" collapsed="false">
      <c r="A43" s="32" t="s">
        <v>37</v>
      </c>
      <c r="B43" s="2"/>
      <c r="C43" s="2"/>
      <c r="D43" s="2"/>
      <c r="E43" s="2"/>
    </row>
    <row r="44" customFormat="false" ht="15" hidden="false" customHeight="false" outlineLevel="0" collapsed="false">
      <c r="A44" s="5" t="s">
        <v>142</v>
      </c>
      <c r="B44" s="27" t="n">
        <v>2500</v>
      </c>
      <c r="C44" s="27" t="n">
        <v>2500</v>
      </c>
      <c r="D44" s="7" t="n">
        <f aca="false">B44+C44</f>
        <v>5000</v>
      </c>
      <c r="E44" s="23" t="s">
        <v>143</v>
      </c>
    </row>
    <row r="45" customFormat="false" ht="15" hidden="false" customHeight="false" outlineLevel="0" collapsed="false">
      <c r="A45" s="5" t="s">
        <v>144</v>
      </c>
      <c r="B45" s="27" t="n">
        <v>1200</v>
      </c>
      <c r="C45" s="27" t="n">
        <v>1800</v>
      </c>
      <c r="D45" s="7" t="n">
        <f aca="false">B45+C45</f>
        <v>3000</v>
      </c>
      <c r="E45" s="23" t="s">
        <v>145</v>
      </c>
    </row>
    <row r="46" customFormat="false" ht="15" hidden="false" customHeight="false" outlineLevel="0" collapsed="false">
      <c r="A46" s="5" t="s">
        <v>146</v>
      </c>
      <c r="B46" s="27" t="n">
        <v>1500</v>
      </c>
      <c r="C46" s="27" t="n">
        <v>2500</v>
      </c>
      <c r="D46" s="7" t="n">
        <f aca="false">B46+C46</f>
        <v>4000</v>
      </c>
      <c r="E46" s="23" t="s">
        <v>147</v>
      </c>
    </row>
    <row r="47" customFormat="false" ht="15" hidden="false" customHeight="false" outlineLevel="0" collapsed="false">
      <c r="A47" s="5" t="s">
        <v>148</v>
      </c>
      <c r="B47" s="27" t="n">
        <v>300</v>
      </c>
      <c r="C47" s="27" t="n">
        <v>100</v>
      </c>
      <c r="D47" s="7" t="n">
        <f aca="false">B47+C47</f>
        <v>400</v>
      </c>
      <c r="E47" s="23" t="s">
        <v>149</v>
      </c>
    </row>
    <row r="48" customFormat="false" ht="15" hidden="false" customHeight="false" outlineLevel="0" collapsed="false">
      <c r="A48" s="18" t="s">
        <v>150</v>
      </c>
      <c r="B48" s="29" t="n">
        <f aca="false">SUM(B44:B47)</f>
        <v>5500</v>
      </c>
      <c r="C48" s="29" t="n">
        <f aca="false">SUM(C44:C47)</f>
        <v>6900</v>
      </c>
      <c r="D48" s="29" t="n">
        <f aca="false">SUM(D44:D47)</f>
        <v>12400</v>
      </c>
      <c r="E48" s="2"/>
    </row>
    <row r="49" customFormat="false" ht="15" hidden="false" customHeight="false" outlineLevel="0" collapsed="false">
      <c r="A49" s="32" t="s">
        <v>38</v>
      </c>
      <c r="B49" s="2"/>
      <c r="C49" s="2"/>
      <c r="D49" s="2"/>
      <c r="E49" s="2"/>
    </row>
    <row r="50" customFormat="false" ht="15" hidden="false" customHeight="false" outlineLevel="0" collapsed="false">
      <c r="A50" s="5" t="s">
        <v>151</v>
      </c>
      <c r="B50" s="27" t="n">
        <v>1500</v>
      </c>
      <c r="C50" s="27" t="n">
        <v>2000</v>
      </c>
      <c r="D50" s="7" t="n">
        <f aca="false">B50+C50</f>
        <v>3500</v>
      </c>
      <c r="E50" s="23" t="s">
        <v>152</v>
      </c>
    </row>
    <row r="51" customFormat="false" ht="15" hidden="false" customHeight="false" outlineLevel="0" collapsed="false">
      <c r="A51" s="18" t="s">
        <v>153</v>
      </c>
      <c r="B51" s="29" t="n">
        <f aca="false">SUM(B50:B50)</f>
        <v>1500</v>
      </c>
      <c r="C51" s="29" t="n">
        <f aca="false">SUM(C50:C50)</f>
        <v>2000</v>
      </c>
      <c r="D51" s="29" t="n">
        <f aca="false">SUM(D50:D50)</f>
        <v>3500</v>
      </c>
      <c r="E51" s="2"/>
    </row>
    <row r="52" customFormat="false" ht="15" hidden="false" customHeight="false" outlineLevel="0" collapsed="false">
      <c r="A52" s="32" t="s">
        <v>39</v>
      </c>
      <c r="B52" s="2"/>
      <c r="C52" s="2"/>
      <c r="D52" s="2"/>
      <c r="E52" s="2"/>
    </row>
    <row r="53" customFormat="false" ht="15" hidden="false" customHeight="false" outlineLevel="0" collapsed="false">
      <c r="A53" s="5" t="s">
        <v>154</v>
      </c>
      <c r="B53" s="7" t="n">
        <f aca="false">Assumptions!$B$21*Assumptions!$B$22*Assumptions!$B$23</f>
        <v>12000</v>
      </c>
      <c r="C53" s="7" t="n">
        <f aca="false">Assumptions!$C$21*Assumptions!$C$22*Assumptions!$C$23</f>
        <v>18000</v>
      </c>
      <c r="D53" s="7" t="n">
        <f aca="false">B53+C53</f>
        <v>30000</v>
      </c>
      <c r="E53" s="23" t="s">
        <v>155</v>
      </c>
    </row>
    <row r="54" customFormat="false" ht="26.85" hidden="false" customHeight="false" outlineLevel="0" collapsed="false">
      <c r="A54" s="5" t="s">
        <v>156</v>
      </c>
      <c r="B54" s="27" t="n">
        <v>0</v>
      </c>
      <c r="C54" s="27" t="n">
        <v>0</v>
      </c>
      <c r="D54" s="7" t="n">
        <f aca="false">B54+C54</f>
        <v>0</v>
      </c>
      <c r="E54" s="23" t="s">
        <v>157</v>
      </c>
    </row>
    <row r="55" customFormat="false" ht="15" hidden="false" customHeight="false" outlineLevel="0" collapsed="false">
      <c r="A55" s="5" t="s">
        <v>158</v>
      </c>
      <c r="B55" s="27" t="n">
        <v>150</v>
      </c>
      <c r="C55" s="27" t="n">
        <v>100</v>
      </c>
      <c r="D55" s="7" t="n">
        <f aca="false">B55+C55</f>
        <v>250</v>
      </c>
      <c r="E55" s="23" t="s">
        <v>159</v>
      </c>
    </row>
    <row r="56" customFormat="false" ht="15" hidden="false" customHeight="false" outlineLevel="0" collapsed="false">
      <c r="A56" s="18" t="s">
        <v>160</v>
      </c>
      <c r="B56" s="29" t="n">
        <f aca="false">SUM(B53:B55)</f>
        <v>12150</v>
      </c>
      <c r="C56" s="29" t="n">
        <f aca="false">SUM(C53:C55)</f>
        <v>18100</v>
      </c>
      <c r="D56" s="29" t="n">
        <f aca="false">SUM(D53:D55)</f>
        <v>30250</v>
      </c>
      <c r="E56" s="2"/>
    </row>
    <row r="57" customFormat="false" ht="15" hidden="false" customHeight="false" outlineLevel="0" collapsed="false">
      <c r="A57" s="32" t="s">
        <v>40</v>
      </c>
      <c r="B57" s="2"/>
      <c r="C57" s="2"/>
      <c r="D57" s="2"/>
      <c r="E57" s="2"/>
    </row>
    <row r="58" customFormat="false" ht="15" hidden="false" customHeight="false" outlineLevel="0" collapsed="false">
      <c r="A58" s="5" t="s">
        <v>161</v>
      </c>
      <c r="B58" s="27" t="n">
        <v>1200</v>
      </c>
      <c r="C58" s="27" t="n">
        <v>1200</v>
      </c>
      <c r="D58" s="7" t="n">
        <f aca="false">B58+C58</f>
        <v>2400</v>
      </c>
      <c r="E58" s="23" t="s">
        <v>162</v>
      </c>
    </row>
    <row r="59" customFormat="false" ht="15" hidden="false" customHeight="false" outlineLevel="0" collapsed="false">
      <c r="A59" s="5" t="s">
        <v>163</v>
      </c>
      <c r="B59" s="27" t="n">
        <v>900</v>
      </c>
      <c r="C59" s="27" t="n">
        <v>1200</v>
      </c>
      <c r="D59" s="7" t="n">
        <f aca="false">B59+C59</f>
        <v>2100</v>
      </c>
      <c r="E59" s="23" t="s">
        <v>164</v>
      </c>
    </row>
    <row r="60" customFormat="false" ht="15" hidden="false" customHeight="false" outlineLevel="0" collapsed="false">
      <c r="A60" s="5" t="s">
        <v>165</v>
      </c>
      <c r="B60" s="27" t="n">
        <v>600</v>
      </c>
      <c r="C60" s="27" t="n">
        <v>600</v>
      </c>
      <c r="D60" s="7" t="n">
        <f aca="false">B60+C60</f>
        <v>1200</v>
      </c>
      <c r="E60" s="23" t="s">
        <v>166</v>
      </c>
    </row>
    <row r="61" customFormat="false" ht="15" hidden="false" customHeight="false" outlineLevel="0" collapsed="false">
      <c r="A61" s="5" t="s">
        <v>167</v>
      </c>
      <c r="B61" s="27" t="n">
        <v>1200</v>
      </c>
      <c r="C61" s="27" t="n">
        <v>1200</v>
      </c>
      <c r="D61" s="7" t="n">
        <f aca="false">B61+C61</f>
        <v>2400</v>
      </c>
      <c r="E61" s="23" t="s">
        <v>168</v>
      </c>
    </row>
    <row r="62" customFormat="false" ht="15" hidden="false" customHeight="false" outlineLevel="0" collapsed="false">
      <c r="A62" s="18" t="s">
        <v>169</v>
      </c>
      <c r="B62" s="29" t="n">
        <f aca="false">SUM(B58:B61)</f>
        <v>3900</v>
      </c>
      <c r="C62" s="29" t="n">
        <f aca="false">SUM(C58:C61)</f>
        <v>4200</v>
      </c>
      <c r="D62" s="29" t="n">
        <f aca="false">SUM(D58:D61)</f>
        <v>8100</v>
      </c>
      <c r="E62" s="2"/>
    </row>
    <row r="63" customFormat="false" ht="15" hidden="false" customHeight="false" outlineLevel="0" collapsed="false">
      <c r="A63" s="32" t="s">
        <v>41</v>
      </c>
      <c r="B63" s="2"/>
      <c r="C63" s="2"/>
      <c r="D63" s="2"/>
      <c r="E63" s="2"/>
    </row>
    <row r="64" customFormat="false" ht="15" hidden="false" customHeight="false" outlineLevel="0" collapsed="false">
      <c r="A64" s="5" t="s">
        <v>170</v>
      </c>
      <c r="B64" s="27" t="n">
        <v>100</v>
      </c>
      <c r="C64" s="27" t="n">
        <v>0</v>
      </c>
      <c r="D64" s="7" t="n">
        <f aca="false">B64+C64</f>
        <v>100</v>
      </c>
      <c r="E64" s="23" t="s">
        <v>171</v>
      </c>
    </row>
    <row r="65" customFormat="false" ht="15" hidden="false" customHeight="false" outlineLevel="0" collapsed="false">
      <c r="A65" s="5" t="s">
        <v>172</v>
      </c>
      <c r="B65" s="27" t="n">
        <v>600</v>
      </c>
      <c r="C65" s="27" t="n">
        <v>0</v>
      </c>
      <c r="D65" s="7" t="n">
        <f aca="false">B65+C65</f>
        <v>600</v>
      </c>
      <c r="E65" s="23" t="s">
        <v>173</v>
      </c>
    </row>
    <row r="66" customFormat="false" ht="15" hidden="false" customHeight="false" outlineLevel="0" collapsed="false">
      <c r="A66" s="5" t="s">
        <v>174</v>
      </c>
      <c r="B66" s="27" t="n">
        <v>150</v>
      </c>
      <c r="C66" s="27" t="n">
        <v>150</v>
      </c>
      <c r="D66" s="7" t="n">
        <f aca="false">B66+C66</f>
        <v>300</v>
      </c>
      <c r="E66" s="23" t="s">
        <v>175</v>
      </c>
    </row>
    <row r="67" customFormat="false" ht="15" hidden="false" customHeight="false" outlineLevel="0" collapsed="false">
      <c r="A67" s="5" t="s">
        <v>176</v>
      </c>
      <c r="B67" s="27" t="n">
        <v>20</v>
      </c>
      <c r="C67" s="27" t="n">
        <v>20</v>
      </c>
      <c r="D67" s="7" t="n">
        <f aca="false">B67+C67</f>
        <v>40</v>
      </c>
      <c r="E67" s="23" t="s">
        <v>177</v>
      </c>
    </row>
    <row r="68" customFormat="false" ht="26.85" hidden="false" customHeight="false" outlineLevel="0" collapsed="false">
      <c r="A68" s="5" t="s">
        <v>178</v>
      </c>
      <c r="B68" s="27" t="n">
        <v>50</v>
      </c>
      <c r="C68" s="27" t="n">
        <v>160</v>
      </c>
      <c r="D68" s="7" t="n">
        <f aca="false">B68+C68</f>
        <v>210</v>
      </c>
      <c r="E68" s="23" t="s">
        <v>179</v>
      </c>
    </row>
    <row r="69" customFormat="false" ht="15" hidden="false" customHeight="false" outlineLevel="0" collapsed="false">
      <c r="A69" s="18" t="s">
        <v>180</v>
      </c>
      <c r="B69" s="29" t="n">
        <f aca="false">SUM(B64:B68)</f>
        <v>920</v>
      </c>
      <c r="C69" s="29" t="n">
        <f aca="false">SUM(C64:C68)</f>
        <v>330</v>
      </c>
      <c r="D69" s="29" t="n">
        <f aca="false">SUM(D64:D68)</f>
        <v>1250</v>
      </c>
      <c r="E69" s="2"/>
    </row>
    <row r="70" customFormat="false" ht="15" hidden="false" customHeight="false" outlineLevel="0" collapsed="false">
      <c r="A70" s="32" t="s">
        <v>42</v>
      </c>
      <c r="B70" s="2"/>
      <c r="C70" s="2"/>
      <c r="D70" s="2"/>
      <c r="E70" s="2"/>
    </row>
    <row r="71" customFormat="false" ht="15" hidden="false" customHeight="false" outlineLevel="0" collapsed="false">
      <c r="A71" s="5" t="s">
        <v>181</v>
      </c>
      <c r="B71" s="27" t="n">
        <v>600</v>
      </c>
      <c r="C71" s="27" t="n">
        <v>900</v>
      </c>
      <c r="D71" s="7" t="n">
        <f aca="false">B71+C71</f>
        <v>1500</v>
      </c>
      <c r="E71" s="23" t="s">
        <v>182</v>
      </c>
    </row>
    <row r="72" customFormat="false" ht="15" hidden="false" customHeight="false" outlineLevel="0" collapsed="false">
      <c r="A72" s="5" t="s">
        <v>183</v>
      </c>
      <c r="B72" s="27" t="n">
        <v>240</v>
      </c>
      <c r="C72" s="27" t="n">
        <v>240</v>
      </c>
      <c r="D72" s="7" t="n">
        <f aca="false">B72+C72</f>
        <v>480</v>
      </c>
      <c r="E72" s="23" t="s">
        <v>184</v>
      </c>
    </row>
    <row r="73" customFormat="false" ht="15" hidden="false" customHeight="false" outlineLevel="0" collapsed="false">
      <c r="A73" s="5" t="s">
        <v>185</v>
      </c>
      <c r="B73" s="27" t="n">
        <v>500</v>
      </c>
      <c r="C73" s="27" t="n">
        <v>1000</v>
      </c>
      <c r="D73" s="7" t="n">
        <f aca="false">B73+C73</f>
        <v>1500</v>
      </c>
      <c r="E73" s="23" t="s">
        <v>186</v>
      </c>
    </row>
    <row r="74" customFormat="false" ht="15" hidden="false" customHeight="false" outlineLevel="0" collapsed="false">
      <c r="A74" s="18" t="s">
        <v>187</v>
      </c>
      <c r="B74" s="29" t="n">
        <f aca="false">SUM(B71:B73)</f>
        <v>1340</v>
      </c>
      <c r="C74" s="29" t="n">
        <f aca="false">SUM(C71:C73)</f>
        <v>2140</v>
      </c>
      <c r="D74" s="29" t="n">
        <f aca="false">SUM(D71:D73)</f>
        <v>3480</v>
      </c>
      <c r="E74" s="2"/>
    </row>
    <row r="75" customFormat="false" ht="15" hidden="false" customHeight="false" outlineLevel="0" collapsed="false">
      <c r="A75" s="18" t="s">
        <v>188</v>
      </c>
      <c r="B75" s="29" t="n">
        <f aca="false">B32+B42+B48+B51+B56+B62+B69+B74</f>
        <v>55000</v>
      </c>
      <c r="C75" s="29" t="n">
        <f aca="false">C32+C42+C48+C51+C56+C62+C69+C74</f>
        <v>66535</v>
      </c>
      <c r="D75" s="29" t="n">
        <f aca="false">B75+C75</f>
        <v>121535</v>
      </c>
      <c r="E75" s="2"/>
    </row>
    <row r="76" customFormat="false" ht="15" hidden="false" customHeight="false" outlineLevel="0" collapsed="false">
      <c r="A76" s="5" t="s">
        <v>43</v>
      </c>
      <c r="B76" s="7" t="n">
        <f aca="false">Assumptions!$B$26*B75</f>
        <v>2750</v>
      </c>
      <c r="C76" s="7" t="n">
        <f aca="false">Assumptions!$C$26*C75</f>
        <v>3326.75</v>
      </c>
      <c r="D76" s="7" t="n">
        <f aca="false">B76+C76</f>
        <v>6076.75</v>
      </c>
      <c r="E76" s="2"/>
    </row>
    <row r="77" customFormat="false" ht="15" hidden="false" customHeight="false" outlineLevel="0" collapsed="false">
      <c r="A77" s="18" t="s">
        <v>13</v>
      </c>
      <c r="B77" s="19" t="n">
        <f aca="false">B75+B76</f>
        <v>57750</v>
      </c>
      <c r="C77" s="19" t="n">
        <f aca="false">C75+C76</f>
        <v>69861.75</v>
      </c>
      <c r="D77" s="19" t="n">
        <f aca="false">B77+C77</f>
        <v>127611.75</v>
      </c>
      <c r="E77" s="2"/>
    </row>
    <row r="78" customFormat="false" ht="15" hidden="false" customHeight="false" outlineLevel="0" collapsed="false">
      <c r="A78" s="2"/>
      <c r="B78" s="2"/>
      <c r="C78" s="2"/>
      <c r="D78" s="2"/>
      <c r="E78" s="2"/>
    </row>
    <row r="79" customFormat="false" ht="15" hidden="false" customHeight="false" outlineLevel="0" collapsed="false">
      <c r="A79" s="11" t="s">
        <v>189</v>
      </c>
      <c r="B79" s="11"/>
      <c r="C79" s="11"/>
      <c r="D79" s="11"/>
      <c r="E79" s="11"/>
    </row>
    <row r="80" customFormat="false" ht="15" hidden="false" customHeight="false" outlineLevel="0" collapsed="false">
      <c r="A80" s="18" t="s">
        <v>14</v>
      </c>
      <c r="B80" s="20" t="n">
        <f aca="false">B24-B77</f>
        <v>-15782</v>
      </c>
      <c r="C80" s="20" t="n">
        <f aca="false">C24-C77</f>
        <v>-4334.038</v>
      </c>
      <c r="D80" s="20" t="n">
        <f aca="false">B80+C80</f>
        <v>-20116.038</v>
      </c>
      <c r="E80" s="2"/>
    </row>
    <row r="81" customFormat="false" ht="15" hidden="false" customHeight="false" outlineLevel="0" collapsed="false">
      <c r="A81" s="5" t="s">
        <v>190</v>
      </c>
      <c r="B81" s="6" t="n">
        <f aca="false">Assumptions!$B$18</f>
        <v>0</v>
      </c>
      <c r="C81" s="6" t="n">
        <f aca="false">B82</f>
        <v>-15782</v>
      </c>
      <c r="D81" s="7"/>
      <c r="E81" s="2"/>
    </row>
    <row r="82" customFormat="false" ht="15" hidden="false" customHeight="false" outlineLevel="0" collapsed="false">
      <c r="A82" s="18" t="s">
        <v>15</v>
      </c>
      <c r="B82" s="19" t="n">
        <f aca="false">B81+B80</f>
        <v>-15782</v>
      </c>
      <c r="C82" s="19" t="n">
        <f aca="false">C81+C80</f>
        <v>-20116.038</v>
      </c>
      <c r="D82" s="19"/>
      <c r="E82" s="23" t="s">
        <v>191</v>
      </c>
    </row>
    <row r="83" customFormat="false" ht="15" hidden="false" customHeight="false" outlineLevel="0" collapsed="false">
      <c r="A83" s="5" t="s">
        <v>192</v>
      </c>
      <c r="B83" s="33" t="n">
        <f aca="false">IFERROR(B82/(B77/12),0)</f>
        <v>-3.27937662337662</v>
      </c>
      <c r="C83" s="33" t="n">
        <f aca="false">IFERROR(C82/(C77/12),0)</f>
        <v>-3.45528785064789</v>
      </c>
      <c r="D83" s="33"/>
      <c r="E83" s="2"/>
    </row>
    <row r="84" customFormat="false" ht="15" hidden="false" customHeight="false" outlineLevel="0" collapsed="false">
      <c r="A84" s="5" t="s">
        <v>193</v>
      </c>
      <c r="B84" s="34" t="n">
        <f aca="false">IFERROR(B77/B7,0)</f>
        <v>0.34375</v>
      </c>
      <c r="C84" s="34" t="n">
        <f aca="false">IFERROR(C77/C7,0)</f>
        <v>0.186298</v>
      </c>
      <c r="D84" s="34"/>
      <c r="E84" s="23" t="s">
        <v>194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7" min="2" style="0" width="14"/>
  </cols>
  <sheetData>
    <row r="1" customFormat="false" ht="17.35" hidden="false" customHeight="false" outlineLevel="0" collapsed="false">
      <c r="A1" s="1" t="s">
        <v>195</v>
      </c>
      <c r="B1" s="2"/>
      <c r="C1" s="2"/>
      <c r="D1" s="2"/>
      <c r="E1" s="2"/>
      <c r="F1" s="2"/>
      <c r="G1" s="2"/>
    </row>
    <row r="2" customFormat="false" ht="15" hidden="false" customHeight="false" outlineLevel="0" collapsed="false">
      <c r="A2" s="3" t="s">
        <v>196</v>
      </c>
      <c r="B2" s="2"/>
      <c r="C2" s="2"/>
      <c r="D2" s="2"/>
      <c r="E2" s="2"/>
      <c r="F2" s="2"/>
      <c r="G2" s="2"/>
    </row>
    <row r="3" customFormat="false" ht="15" hidden="false" customHeight="false" outlineLevel="0" collapsed="false">
      <c r="A3" s="2"/>
      <c r="B3" s="2"/>
      <c r="C3" s="2"/>
      <c r="D3" s="2"/>
      <c r="E3" s="2"/>
      <c r="F3" s="2"/>
      <c r="G3" s="2"/>
    </row>
    <row r="4" customFormat="false" ht="15" hidden="false" customHeight="false" outlineLevel="0" collapsed="false">
      <c r="A4" s="4" t="s">
        <v>197</v>
      </c>
      <c r="B4" s="4" t="s">
        <v>198</v>
      </c>
      <c r="C4" s="4" t="s">
        <v>199</v>
      </c>
      <c r="D4" s="4" t="s">
        <v>200</v>
      </c>
      <c r="E4" s="4" t="s">
        <v>201</v>
      </c>
      <c r="F4" s="4" t="s">
        <v>202</v>
      </c>
      <c r="G4" s="4" t="s">
        <v>203</v>
      </c>
    </row>
    <row r="5" customFormat="false" ht="15" hidden="false" customHeight="false" outlineLevel="0" collapsed="false">
      <c r="A5" s="2" t="s">
        <v>204</v>
      </c>
      <c r="B5" s="28" t="n">
        <v>60</v>
      </c>
      <c r="C5" s="28" t="n">
        <v>120</v>
      </c>
      <c r="D5" s="8" t="n">
        <f aca="false">Assumptions!$B$6</f>
        <v>120</v>
      </c>
      <c r="E5" s="8" t="n">
        <f aca="false">Assumptions!$C$6</f>
        <v>250</v>
      </c>
      <c r="F5" s="28" t="n">
        <v>200</v>
      </c>
      <c r="G5" s="28" t="n">
        <v>400</v>
      </c>
    </row>
    <row r="6" customFormat="false" ht="15" hidden="false" customHeight="false" outlineLevel="0" collapsed="false">
      <c r="A6" s="2" t="s">
        <v>205</v>
      </c>
      <c r="B6" s="27" t="n">
        <v>1200</v>
      </c>
      <c r="C6" s="27" t="n">
        <v>1300</v>
      </c>
      <c r="D6" s="6" t="n">
        <f aca="false">Assumptions!$B$7</f>
        <v>1400</v>
      </c>
      <c r="E6" s="6" t="n">
        <f aca="false">Assumptions!$C$7</f>
        <v>1500</v>
      </c>
      <c r="F6" s="27" t="n">
        <v>1500</v>
      </c>
      <c r="G6" s="27" t="n">
        <v>1600</v>
      </c>
    </row>
    <row r="7" customFormat="false" ht="15" hidden="false" customHeight="false" outlineLevel="0" collapsed="false">
      <c r="A7" s="5" t="s">
        <v>206</v>
      </c>
      <c r="B7" s="7" t="n">
        <f aca="false">B5*B6</f>
        <v>72000</v>
      </c>
      <c r="C7" s="7" t="n">
        <f aca="false">C5*C6</f>
        <v>156000</v>
      </c>
      <c r="D7" s="7" t="n">
        <f aca="false">D5*D6</f>
        <v>168000</v>
      </c>
      <c r="E7" s="7" t="n">
        <f aca="false">E5*E6</f>
        <v>375000</v>
      </c>
      <c r="F7" s="7" t="n">
        <f aca="false">F5*F6</f>
        <v>300000</v>
      </c>
      <c r="G7" s="7" t="n">
        <f aca="false">G5*G6</f>
        <v>640000</v>
      </c>
    </row>
    <row r="8" customFormat="false" ht="15" hidden="false" customHeight="false" outlineLevel="0" collapsed="false">
      <c r="A8" s="5" t="s">
        <v>207</v>
      </c>
      <c r="B8" s="7" t="n">
        <f aca="false">Assumptions!$B$9*B7</f>
        <v>7200</v>
      </c>
      <c r="C8" s="7" t="n">
        <f aca="false">Assumptions!$C$9*C7</f>
        <v>15600</v>
      </c>
      <c r="D8" s="7" t="n">
        <f aca="false">Assumptions!$B$9*D7</f>
        <v>16800</v>
      </c>
      <c r="E8" s="7" t="n">
        <f aca="false">Assumptions!$C$9*E7</f>
        <v>37500</v>
      </c>
      <c r="F8" s="7" t="n">
        <f aca="false">Assumptions!$B$9*F7</f>
        <v>30000</v>
      </c>
      <c r="G8" s="7" t="n">
        <f aca="false">Assumptions!$C$9*G7</f>
        <v>64000</v>
      </c>
    </row>
    <row r="9" customFormat="false" ht="15" hidden="false" customHeight="false" outlineLevel="0" collapsed="false">
      <c r="A9" s="5" t="s">
        <v>208</v>
      </c>
      <c r="B9" s="7" t="n">
        <f aca="false">B7-B8</f>
        <v>64800</v>
      </c>
      <c r="C9" s="7" t="n">
        <f aca="false">C7-C8</f>
        <v>140400</v>
      </c>
      <c r="D9" s="7" t="n">
        <f aca="false">D7-D8</f>
        <v>151200</v>
      </c>
      <c r="E9" s="7" t="n">
        <f aca="false">E7-E8</f>
        <v>337500</v>
      </c>
      <c r="F9" s="7" t="n">
        <f aca="false">F7-F8</f>
        <v>270000</v>
      </c>
      <c r="G9" s="7" t="n">
        <f aca="false">G7-G8</f>
        <v>576000</v>
      </c>
    </row>
    <row r="10" customFormat="false" ht="15" hidden="false" customHeight="false" outlineLevel="0" collapsed="false">
      <c r="A10" s="5" t="s">
        <v>9</v>
      </c>
      <c r="B10" s="9" t="n">
        <f aca="false">IFERROR(ROUNDDOWN(B9/Assumptions!$B$12,0),0)</f>
        <v>32</v>
      </c>
      <c r="C10" s="9" t="n">
        <f aca="false">IFERROR(ROUNDDOWN(C9/Assumptions!$C$12,0),0)</f>
        <v>63</v>
      </c>
      <c r="D10" s="9" t="n">
        <f aca="false">IFERROR(ROUNDDOWN(D9/Assumptions!$B$12,0),0)</f>
        <v>75</v>
      </c>
      <c r="E10" s="9" t="n">
        <f aca="false">IFERROR(ROUNDDOWN(E9/Assumptions!$C$12,0),0)</f>
        <v>153</v>
      </c>
      <c r="F10" s="9" t="n">
        <f aca="false">IFERROR(ROUNDDOWN(F9/Assumptions!$B$12,0),0)</f>
        <v>135</v>
      </c>
      <c r="G10" s="9" t="n">
        <f aca="false">IFERROR(ROUNDDOWN(G9/Assumptions!$C$12,0),0)</f>
        <v>261</v>
      </c>
    </row>
    <row r="11" customFormat="false" ht="15" hidden="false" customHeight="false" outlineLevel="0" collapsed="false">
      <c r="A11" s="5" t="s">
        <v>209</v>
      </c>
      <c r="B11" s="7" t="n">
        <f aca="false">B8+Budget!B21+Budget!B22+Budget!B23</f>
        <v>32200</v>
      </c>
      <c r="C11" s="7" t="n">
        <f aca="false">C8+Budget!C21+Budget!C22+Budget!C23</f>
        <v>43100</v>
      </c>
      <c r="D11" s="7" t="n">
        <f aca="false">D8+Budget!B21+Budget!B22+Budget!B23</f>
        <v>41800</v>
      </c>
      <c r="E11" s="7" t="n">
        <f aca="false">E8+Budget!C21+Budget!C22+Budget!C23</f>
        <v>65000</v>
      </c>
      <c r="F11" s="7" t="n">
        <f aca="false">F8+Budget!B21+Budget!B22+Budget!B23</f>
        <v>55000</v>
      </c>
      <c r="G11" s="7" t="n">
        <f aca="false">G8+Budget!C21+Budget!C22+Budget!C23</f>
        <v>91500</v>
      </c>
    </row>
    <row r="12" customFormat="false" ht="15" hidden="false" customHeight="false" outlineLevel="0" collapsed="false">
      <c r="A12" s="5" t="s">
        <v>210</v>
      </c>
      <c r="B12" s="7" t="n">
        <f aca="false">(Budget!B75-Budget!B36+Assumptions!$B$10*B7)*(1+Assumptions!$B$26)</f>
        <v>55230</v>
      </c>
      <c r="C12" s="7" t="n">
        <f aca="false">(Budget!C75-Budget!C36+Assumptions!$C$10*C7)*(1+Assumptions!$C$26)</f>
        <v>64113</v>
      </c>
      <c r="D12" s="7" t="n">
        <f aca="false">(Budget!B75-Budget!B36+Assumptions!$B$10*D7)*(1+Assumptions!$B$26)</f>
        <v>57750</v>
      </c>
      <c r="E12" s="7" t="n">
        <f aca="false">(Budget!C75-Budget!C36+Assumptions!$C$10*E7)*(1+Assumptions!$C$26)</f>
        <v>69861.75</v>
      </c>
      <c r="F12" s="7" t="n">
        <f aca="false">(Budget!B75-Budget!B36+Assumptions!$B$10*F7)*(1+Assumptions!$B$26)</f>
        <v>61215</v>
      </c>
      <c r="G12" s="7" t="n">
        <f aca="false">(Budget!C75-Budget!C36+Assumptions!$C$10*G7)*(1+Assumptions!$C$26)</f>
        <v>76818</v>
      </c>
    </row>
    <row r="13" customFormat="false" ht="15" hidden="false" customHeight="false" outlineLevel="0" collapsed="false">
      <c r="A13" s="18" t="s">
        <v>14</v>
      </c>
      <c r="B13" s="19" t="n">
        <f aca="false">B11-B12</f>
        <v>-23030</v>
      </c>
      <c r="C13" s="19" t="n">
        <f aca="false">C11-C12</f>
        <v>-21013</v>
      </c>
      <c r="D13" s="19" t="n">
        <f aca="false">D11-D12</f>
        <v>-15950</v>
      </c>
      <c r="E13" s="19" t="n">
        <f aca="false">E11-E12</f>
        <v>-4861.75</v>
      </c>
      <c r="F13" s="19" t="n">
        <f aca="false">F11-F12</f>
        <v>-6215</v>
      </c>
      <c r="G13" s="19" t="n">
        <f aca="false">G11-G12</f>
        <v>14682</v>
      </c>
    </row>
    <row r="14" customFormat="false" ht="15" hidden="false" customHeight="false" outlineLevel="0" collapsed="false">
      <c r="A14" s="2"/>
      <c r="B14" s="2"/>
      <c r="C14" s="2"/>
      <c r="D14" s="2"/>
      <c r="E14" s="2"/>
      <c r="F14" s="2"/>
      <c r="G14" s="2"/>
    </row>
    <row r="15" customFormat="false" ht="43.5" hidden="false" customHeight="true" outlineLevel="0" collapsed="false">
      <c r="A15" s="14" t="s">
        <v>211</v>
      </c>
      <c r="B15" s="14"/>
      <c r="C15" s="14"/>
      <c r="D15" s="14"/>
      <c r="E15" s="14"/>
      <c r="F15" s="14"/>
      <c r="G15" s="14"/>
    </row>
  </sheetData>
  <mergeCells count="1">
    <mergeCell ref="A15:G1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10"/>
  </cols>
  <sheetData>
    <row r="1" customFormat="false" ht="17.35" hidden="false" customHeight="false" outlineLevel="0" collapsed="false">
      <c r="A1" s="1" t="s">
        <v>212</v>
      </c>
      <c r="B1" s="2"/>
    </row>
    <row r="2" customFormat="false" ht="15" hidden="false" customHeight="false" outlineLevel="0" collapsed="false">
      <c r="A2" s="2"/>
      <c r="B2" s="2"/>
    </row>
    <row r="3" customFormat="false" ht="15" hidden="false" customHeight="false" outlineLevel="0" collapsed="false">
      <c r="A3" s="11" t="s">
        <v>213</v>
      </c>
      <c r="B3" s="12"/>
    </row>
    <row r="4" customFormat="false" ht="26.85" hidden="false" customHeight="false" outlineLevel="0" collapsed="false">
      <c r="A4" s="35" t="s">
        <v>214</v>
      </c>
      <c r="B4" s="23" t="s">
        <v>215</v>
      </c>
    </row>
    <row r="5" customFormat="false" ht="26.85" hidden="false" customHeight="false" outlineLevel="0" collapsed="false">
      <c r="A5" s="35" t="s">
        <v>216</v>
      </c>
      <c r="B5" s="23" t="s">
        <v>217</v>
      </c>
    </row>
    <row r="6" customFormat="false" ht="26.85" hidden="false" customHeight="false" outlineLevel="0" collapsed="false">
      <c r="A6" s="35" t="s">
        <v>218</v>
      </c>
      <c r="B6" s="23" t="s">
        <v>219</v>
      </c>
    </row>
    <row r="7" customFormat="false" ht="26.85" hidden="false" customHeight="false" outlineLevel="0" collapsed="false">
      <c r="A7" s="35" t="s">
        <v>220</v>
      </c>
      <c r="B7" s="23" t="s">
        <v>221</v>
      </c>
    </row>
    <row r="8" customFormat="false" ht="26.85" hidden="false" customHeight="false" outlineLevel="0" collapsed="false">
      <c r="A8" s="35" t="s">
        <v>222</v>
      </c>
      <c r="B8" s="23" t="s">
        <v>223</v>
      </c>
    </row>
    <row r="9" customFormat="false" ht="15" hidden="false" customHeight="false" outlineLevel="0" collapsed="false">
      <c r="A9" s="11" t="s">
        <v>224</v>
      </c>
      <c r="B9" s="12"/>
    </row>
    <row r="10" customFormat="false" ht="26.85" hidden="false" customHeight="false" outlineLevel="0" collapsed="false">
      <c r="A10" s="35" t="s">
        <v>225</v>
      </c>
      <c r="B10" s="23" t="s">
        <v>226</v>
      </c>
    </row>
    <row r="11" customFormat="false" ht="15" hidden="false" customHeight="false" outlineLevel="0" collapsed="false">
      <c r="A11" s="35" t="s">
        <v>227</v>
      </c>
      <c r="B11" s="23" t="s">
        <v>228</v>
      </c>
    </row>
    <row r="12" customFormat="false" ht="15" hidden="false" customHeight="false" outlineLevel="0" collapsed="false">
      <c r="A12" s="35" t="s">
        <v>229</v>
      </c>
      <c r="B12" s="23" t="s">
        <v>230</v>
      </c>
    </row>
    <row r="13" customFormat="false" ht="26.85" hidden="false" customHeight="false" outlineLevel="0" collapsed="false">
      <c r="A13" s="35" t="s">
        <v>231</v>
      </c>
      <c r="B13" s="23" t="s">
        <v>232</v>
      </c>
    </row>
    <row r="14" customFormat="false" ht="15" hidden="false" customHeight="false" outlineLevel="0" collapsed="false">
      <c r="A14" s="11" t="s">
        <v>233</v>
      </c>
      <c r="B14" s="12"/>
    </row>
    <row r="15" customFormat="false" ht="26.85" hidden="false" customHeight="false" outlineLevel="0" collapsed="false">
      <c r="A15" s="35" t="s">
        <v>234</v>
      </c>
      <c r="B15" s="23" t="s">
        <v>235</v>
      </c>
    </row>
    <row r="16" customFormat="false" ht="15" hidden="false" customHeight="false" outlineLevel="0" collapsed="false">
      <c r="A16" s="35" t="s">
        <v>236</v>
      </c>
      <c r="B16" s="23" t="s">
        <v>237</v>
      </c>
    </row>
    <row r="17" customFormat="false" ht="26.85" hidden="false" customHeight="false" outlineLevel="0" collapsed="false">
      <c r="A17" s="35" t="s">
        <v>238</v>
      </c>
      <c r="B17" s="23" t="s">
        <v>239</v>
      </c>
    </row>
    <row r="18" customFormat="false" ht="15" hidden="false" customHeight="false" outlineLevel="0" collapsed="false">
      <c r="A18" s="35" t="s">
        <v>240</v>
      </c>
      <c r="B18" s="23" t="s">
        <v>241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2026-10-29T14:33:43Z</dcterms:created>
  <dc:creator>openpyxl</dc:creator>
  <dc:description/>
  <dc:language>en-US</dc:language>
  <cp:lastModifiedBy/>
  <dcterms:modified xsi:type="dcterms:W3CDTF">2026-10-29T14:33:43Z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